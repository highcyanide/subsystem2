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0490" windowHeight="7530"/>
  </bookViews>
  <sheets>
    <sheet name="BIR 20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8" i="1" l="1"/>
  <c r="J178" i="1"/>
  <c r="I178" i="1"/>
  <c r="F175" i="1" l="1"/>
  <c r="H175" i="1"/>
  <c r="I175" i="1"/>
  <c r="J175" i="1" s="1"/>
  <c r="F176" i="1"/>
  <c r="H176" i="1"/>
  <c r="I176" i="1"/>
  <c r="J176" i="1" s="1"/>
  <c r="F177" i="1"/>
  <c r="H177" i="1"/>
  <c r="I177" i="1"/>
  <c r="J177" i="1" s="1"/>
  <c r="F125" i="1"/>
  <c r="H125" i="1"/>
  <c r="I125" i="1"/>
  <c r="J125" i="1" s="1"/>
  <c r="F118" i="1"/>
  <c r="F119" i="1"/>
  <c r="F120" i="1"/>
  <c r="F121" i="1"/>
  <c r="F122" i="1"/>
  <c r="F123" i="1"/>
  <c r="F124" i="1"/>
  <c r="F126" i="1"/>
  <c r="F127" i="1"/>
  <c r="F128" i="1"/>
  <c r="F129" i="1"/>
  <c r="F130" i="1"/>
  <c r="F131" i="1"/>
  <c r="F132" i="1"/>
  <c r="F133" i="1"/>
  <c r="H118" i="1"/>
  <c r="H119" i="1"/>
  <c r="H120" i="1"/>
  <c r="H121" i="1"/>
  <c r="H122" i="1"/>
  <c r="H123" i="1"/>
  <c r="H124" i="1"/>
  <c r="H126" i="1"/>
  <c r="H127" i="1"/>
  <c r="H128" i="1"/>
  <c r="H129" i="1"/>
  <c r="H130" i="1"/>
  <c r="H131" i="1"/>
  <c r="H132" i="1"/>
  <c r="H133" i="1"/>
  <c r="I118" i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6" i="1"/>
  <c r="J126" i="1" s="1"/>
  <c r="I127" i="1"/>
  <c r="I128" i="1"/>
  <c r="I129" i="1"/>
  <c r="I130" i="1"/>
  <c r="I131" i="1"/>
  <c r="J131" i="1" s="1"/>
  <c r="I132" i="1"/>
  <c r="J132" i="1" s="1"/>
  <c r="I133" i="1"/>
  <c r="J133" i="1" s="1"/>
  <c r="F111" i="1"/>
  <c r="F112" i="1"/>
  <c r="F113" i="1"/>
  <c r="F114" i="1"/>
  <c r="F115" i="1"/>
  <c r="F116" i="1"/>
  <c r="F117" i="1"/>
  <c r="H111" i="1"/>
  <c r="H112" i="1"/>
  <c r="H113" i="1"/>
  <c r="H114" i="1"/>
  <c r="H115" i="1"/>
  <c r="H116" i="1"/>
  <c r="H117" i="1"/>
  <c r="I111" i="1"/>
  <c r="J111" i="1" s="1"/>
  <c r="I112" i="1"/>
  <c r="J112" i="1" s="1"/>
  <c r="I113" i="1"/>
  <c r="J113" i="1" s="1"/>
  <c r="I114" i="1"/>
  <c r="I115" i="1"/>
  <c r="J115" i="1" s="1"/>
  <c r="I116" i="1"/>
  <c r="J116" i="1" s="1"/>
  <c r="I117" i="1"/>
  <c r="J117" i="1" s="1"/>
  <c r="F174" i="1"/>
  <c r="H174" i="1"/>
  <c r="I174" i="1"/>
  <c r="J174" i="1" s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I158" i="1"/>
  <c r="K158" i="1" s="1"/>
  <c r="I159" i="1"/>
  <c r="K159" i="1" s="1"/>
  <c r="I160" i="1"/>
  <c r="I161" i="1"/>
  <c r="I162" i="1"/>
  <c r="K162" i="1" s="1"/>
  <c r="I163" i="1"/>
  <c r="J163" i="1" s="1"/>
  <c r="I164" i="1"/>
  <c r="K164" i="1" s="1"/>
  <c r="I165" i="1"/>
  <c r="J165" i="1" s="1"/>
  <c r="I166" i="1"/>
  <c r="J166" i="1" s="1"/>
  <c r="I167" i="1"/>
  <c r="K167" i="1" s="1"/>
  <c r="I168" i="1"/>
  <c r="K168" i="1" s="1"/>
  <c r="I169" i="1"/>
  <c r="I170" i="1"/>
  <c r="J170" i="1" s="1"/>
  <c r="I171" i="1"/>
  <c r="K171" i="1" s="1"/>
  <c r="I172" i="1"/>
  <c r="J172" i="1" s="1"/>
  <c r="I173" i="1"/>
  <c r="J173" i="1" s="1"/>
  <c r="J158" i="1"/>
  <c r="F156" i="1"/>
  <c r="F157" i="1"/>
  <c r="H156" i="1"/>
  <c r="H157" i="1"/>
  <c r="I156" i="1"/>
  <c r="I157" i="1"/>
  <c r="J157" i="1" s="1"/>
  <c r="F99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100" i="1"/>
  <c r="F101" i="1"/>
  <c r="F102" i="1"/>
  <c r="F103" i="1"/>
  <c r="F104" i="1"/>
  <c r="F105" i="1"/>
  <c r="F106" i="1"/>
  <c r="F107" i="1"/>
  <c r="F108" i="1"/>
  <c r="F109" i="1"/>
  <c r="F110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I65" i="1"/>
  <c r="I66" i="1"/>
  <c r="I67" i="1"/>
  <c r="J67" i="1" s="1"/>
  <c r="I68" i="1"/>
  <c r="I69" i="1"/>
  <c r="J69" i="1" s="1"/>
  <c r="I70" i="1"/>
  <c r="I71" i="1"/>
  <c r="J71" i="1" s="1"/>
  <c r="I72" i="1"/>
  <c r="J72" i="1" s="1"/>
  <c r="I73" i="1"/>
  <c r="J73" i="1" s="1"/>
  <c r="I74" i="1"/>
  <c r="J74" i="1" s="1"/>
  <c r="I75" i="1"/>
  <c r="J75" i="1" s="1"/>
  <c r="I76" i="1"/>
  <c r="I77" i="1"/>
  <c r="I78" i="1"/>
  <c r="I79" i="1"/>
  <c r="I80" i="1"/>
  <c r="J80" i="1" s="1"/>
  <c r="I81" i="1"/>
  <c r="I82" i="1"/>
  <c r="I83" i="1"/>
  <c r="J83" i="1" s="1"/>
  <c r="I84" i="1"/>
  <c r="I85" i="1"/>
  <c r="J85" i="1" s="1"/>
  <c r="I86" i="1"/>
  <c r="I87" i="1"/>
  <c r="I88" i="1"/>
  <c r="J88" i="1" s="1"/>
  <c r="I89" i="1"/>
  <c r="I90" i="1"/>
  <c r="I91" i="1"/>
  <c r="J91" i="1" s="1"/>
  <c r="I92" i="1"/>
  <c r="I93" i="1"/>
  <c r="J93" i="1" s="1"/>
  <c r="I94" i="1"/>
  <c r="I95" i="1"/>
  <c r="I96" i="1"/>
  <c r="J96" i="1" s="1"/>
  <c r="I97" i="1"/>
  <c r="I98" i="1"/>
  <c r="I99" i="1"/>
  <c r="J99" i="1" s="1"/>
  <c r="I100" i="1"/>
  <c r="I101" i="1"/>
  <c r="J101" i="1" s="1"/>
  <c r="I102" i="1"/>
  <c r="I103" i="1"/>
  <c r="I104" i="1"/>
  <c r="J104" i="1" s="1"/>
  <c r="I105" i="1"/>
  <c r="I106" i="1"/>
  <c r="J106" i="1" s="1"/>
  <c r="I107" i="1"/>
  <c r="J107" i="1" s="1"/>
  <c r="I108" i="1"/>
  <c r="I109" i="1"/>
  <c r="J109" i="1" s="1"/>
  <c r="I110" i="1"/>
  <c r="I134" i="1"/>
  <c r="I135" i="1"/>
  <c r="J135" i="1" s="1"/>
  <c r="I136" i="1"/>
  <c r="I137" i="1"/>
  <c r="I138" i="1"/>
  <c r="J138" i="1" s="1"/>
  <c r="I139" i="1"/>
  <c r="I140" i="1"/>
  <c r="J140" i="1" s="1"/>
  <c r="I141" i="1"/>
  <c r="I142" i="1"/>
  <c r="J142" i="1" s="1"/>
  <c r="I143" i="1"/>
  <c r="J143" i="1" s="1"/>
  <c r="I144" i="1"/>
  <c r="I145" i="1"/>
  <c r="I146" i="1"/>
  <c r="J146" i="1" s="1"/>
  <c r="I147" i="1"/>
  <c r="I148" i="1"/>
  <c r="J148" i="1" s="1"/>
  <c r="I149" i="1"/>
  <c r="I150" i="1"/>
  <c r="I151" i="1"/>
  <c r="J151" i="1" s="1"/>
  <c r="I152" i="1"/>
  <c r="I153" i="1"/>
  <c r="F155" i="1"/>
  <c r="H155" i="1"/>
  <c r="I155" i="1"/>
  <c r="J155" i="1" s="1"/>
  <c r="F64" i="1"/>
  <c r="H64" i="1"/>
  <c r="I64" i="1"/>
  <c r="J64" i="1" s="1"/>
  <c r="F154" i="1"/>
  <c r="H154" i="1"/>
  <c r="I154" i="1"/>
  <c r="J154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8" i="1"/>
  <c r="F59" i="1"/>
  <c r="F60" i="1"/>
  <c r="F61" i="1"/>
  <c r="F62" i="1"/>
  <c r="F63" i="1"/>
  <c r="F53" i="1"/>
  <c r="F54" i="1"/>
  <c r="F55" i="1"/>
  <c r="F37" i="1"/>
  <c r="F38" i="1"/>
  <c r="F56" i="1"/>
  <c r="F57" i="1"/>
  <c r="I57" i="1"/>
  <c r="J57" i="1" s="1"/>
  <c r="H61" i="1"/>
  <c r="H62" i="1"/>
  <c r="H63" i="1"/>
  <c r="H53" i="1"/>
  <c r="H54" i="1"/>
  <c r="H55" i="1"/>
  <c r="H37" i="1"/>
  <c r="H38" i="1"/>
  <c r="H56" i="1"/>
  <c r="H57" i="1"/>
  <c r="I61" i="1"/>
  <c r="J61" i="1" s="1"/>
  <c r="I62" i="1"/>
  <c r="J62" i="1" s="1"/>
  <c r="I63" i="1"/>
  <c r="J63" i="1" s="1"/>
  <c r="I53" i="1"/>
  <c r="J53" i="1" s="1"/>
  <c r="I54" i="1"/>
  <c r="J54" i="1" s="1"/>
  <c r="I55" i="1"/>
  <c r="J55" i="1" s="1"/>
  <c r="I37" i="1"/>
  <c r="J37" i="1" s="1"/>
  <c r="I38" i="1"/>
  <c r="J38" i="1" s="1"/>
  <c r="I56" i="1"/>
  <c r="J56" i="1" s="1"/>
  <c r="H60" i="1"/>
  <c r="I60" i="1"/>
  <c r="J60" i="1" s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H59" i="1"/>
  <c r="I59" i="1"/>
  <c r="J59" i="1" s="1"/>
  <c r="H58" i="1"/>
  <c r="I58" i="1"/>
  <c r="J58" i="1" s="1"/>
  <c r="H36" i="1"/>
  <c r="I36" i="1"/>
  <c r="J36" i="1" s="1"/>
  <c r="H24" i="1"/>
  <c r="I5" i="1"/>
  <c r="J5" i="1" s="1"/>
  <c r="I4" i="1"/>
  <c r="J4" i="1" s="1"/>
  <c r="I6" i="1"/>
  <c r="J6" i="1" s="1"/>
  <c r="I7" i="1"/>
  <c r="J7" i="1" s="1"/>
  <c r="I8" i="1"/>
  <c r="J8" i="1" s="1"/>
  <c r="I9" i="1"/>
  <c r="J9" i="1" s="1"/>
  <c r="I26" i="1"/>
  <c r="J26" i="1" s="1"/>
  <c r="I27" i="1"/>
  <c r="J27" i="1" s="1"/>
  <c r="I28" i="1"/>
  <c r="J28" i="1" s="1"/>
  <c r="I29" i="1"/>
  <c r="J29" i="1" s="1"/>
  <c r="I21" i="1"/>
  <c r="J21" i="1" s="1"/>
  <c r="I22" i="1"/>
  <c r="J22" i="1" s="1"/>
  <c r="I23" i="1"/>
  <c r="J23" i="1" s="1"/>
  <c r="I24" i="1"/>
  <c r="J24" i="1" s="1"/>
  <c r="I25" i="1"/>
  <c r="J25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H4" i="1"/>
  <c r="H6" i="1"/>
  <c r="H7" i="1"/>
  <c r="H8" i="1"/>
  <c r="H9" i="1"/>
  <c r="H26" i="1"/>
  <c r="H27" i="1"/>
  <c r="H28" i="1"/>
  <c r="H29" i="1"/>
  <c r="H21" i="1"/>
  <c r="H22" i="1"/>
  <c r="H23" i="1"/>
  <c r="H25" i="1"/>
  <c r="H10" i="1"/>
  <c r="H11" i="1"/>
  <c r="H12" i="1"/>
  <c r="H13" i="1"/>
  <c r="H14" i="1"/>
  <c r="H15" i="1"/>
  <c r="H16" i="1"/>
  <c r="H17" i="1"/>
  <c r="H18" i="1"/>
  <c r="H19" i="1"/>
  <c r="H20" i="1"/>
  <c r="H30" i="1"/>
  <c r="H31" i="1"/>
  <c r="H32" i="1"/>
  <c r="H33" i="1"/>
  <c r="H34" i="1"/>
  <c r="H35" i="1"/>
  <c r="F178" i="1" l="1"/>
  <c r="K161" i="1"/>
  <c r="K176" i="1"/>
  <c r="K175" i="1"/>
  <c r="K177" i="1"/>
  <c r="K160" i="1"/>
  <c r="J167" i="1"/>
  <c r="K130" i="1"/>
  <c r="K127" i="1"/>
  <c r="K118" i="1"/>
  <c r="K125" i="1"/>
  <c r="J127" i="1"/>
  <c r="K129" i="1"/>
  <c r="J118" i="1"/>
  <c r="K133" i="1"/>
  <c r="K124" i="1"/>
  <c r="K128" i="1"/>
  <c r="K121" i="1"/>
  <c r="K117" i="1"/>
  <c r="K120" i="1"/>
  <c r="K114" i="1"/>
  <c r="J130" i="1"/>
  <c r="J129" i="1"/>
  <c r="J114" i="1"/>
  <c r="K119" i="1"/>
  <c r="J128" i="1"/>
  <c r="K126" i="1"/>
  <c r="K131" i="1"/>
  <c r="K122" i="1"/>
  <c r="K111" i="1"/>
  <c r="K113" i="1"/>
  <c r="K132" i="1"/>
  <c r="K123" i="1"/>
  <c r="K115" i="1"/>
  <c r="K112" i="1"/>
  <c r="K116" i="1"/>
  <c r="K174" i="1"/>
  <c r="K169" i="1"/>
  <c r="J171" i="1"/>
  <c r="J169" i="1"/>
  <c r="J168" i="1"/>
  <c r="K166" i="1"/>
  <c r="J164" i="1"/>
  <c r="K163" i="1"/>
  <c r="J162" i="1"/>
  <c r="J161" i="1"/>
  <c r="J160" i="1"/>
  <c r="J159" i="1"/>
  <c r="K173" i="1"/>
  <c r="K165" i="1"/>
  <c r="K172" i="1"/>
  <c r="K170" i="1"/>
  <c r="K92" i="1"/>
  <c r="K84" i="1"/>
  <c r="K68" i="1"/>
  <c r="K82" i="1"/>
  <c r="K66" i="1"/>
  <c r="K67" i="1"/>
  <c r="K139" i="1"/>
  <c r="K108" i="1"/>
  <c r="K100" i="1"/>
  <c r="K156" i="1"/>
  <c r="J156" i="1"/>
  <c r="K71" i="1"/>
  <c r="K137" i="1"/>
  <c r="K157" i="1"/>
  <c r="K73" i="1"/>
  <c r="K155" i="1"/>
  <c r="K153" i="1"/>
  <c r="K147" i="1"/>
  <c r="K145" i="1"/>
  <c r="K109" i="1"/>
  <c r="K101" i="1"/>
  <c r="K98" i="1"/>
  <c r="K90" i="1"/>
  <c r="K77" i="1"/>
  <c r="K76" i="1"/>
  <c r="K69" i="1"/>
  <c r="K138" i="1"/>
  <c r="K107" i="1"/>
  <c r="K142" i="1"/>
  <c r="J153" i="1"/>
  <c r="J145" i="1"/>
  <c r="J137" i="1"/>
  <c r="J98" i="1"/>
  <c r="J90" i="1"/>
  <c r="J82" i="1"/>
  <c r="J66" i="1"/>
  <c r="K99" i="1"/>
  <c r="K152" i="1"/>
  <c r="K144" i="1"/>
  <c r="K136" i="1"/>
  <c r="K105" i="1"/>
  <c r="K97" i="1"/>
  <c r="K89" i="1"/>
  <c r="K81" i="1"/>
  <c r="K65" i="1"/>
  <c r="J152" i="1"/>
  <c r="J144" i="1"/>
  <c r="J136" i="1"/>
  <c r="J105" i="1"/>
  <c r="J97" i="1"/>
  <c r="J89" i="1"/>
  <c r="J81" i="1"/>
  <c r="J65" i="1"/>
  <c r="K91" i="1"/>
  <c r="K75" i="1"/>
  <c r="K150" i="1"/>
  <c r="K134" i="1"/>
  <c r="K103" i="1"/>
  <c r="K95" i="1"/>
  <c r="K87" i="1"/>
  <c r="K79" i="1"/>
  <c r="J150" i="1"/>
  <c r="J134" i="1"/>
  <c r="J103" i="1"/>
  <c r="J95" i="1"/>
  <c r="J87" i="1"/>
  <c r="J79" i="1"/>
  <c r="K149" i="1"/>
  <c r="K141" i="1"/>
  <c r="K110" i="1"/>
  <c r="K102" i="1"/>
  <c r="K94" i="1"/>
  <c r="K86" i="1"/>
  <c r="K78" i="1"/>
  <c r="K70" i="1"/>
  <c r="J149" i="1"/>
  <c r="J141" i="1"/>
  <c r="J110" i="1"/>
  <c r="J102" i="1"/>
  <c r="J94" i="1"/>
  <c r="J86" i="1"/>
  <c r="J78" i="1"/>
  <c r="J70" i="1"/>
  <c r="J77" i="1"/>
  <c r="K151" i="1"/>
  <c r="K143" i="1"/>
  <c r="K135" i="1"/>
  <c r="K104" i="1"/>
  <c r="K96" i="1"/>
  <c r="K88" i="1"/>
  <c r="K80" i="1"/>
  <c r="K72" i="1"/>
  <c r="J147" i="1"/>
  <c r="J139" i="1"/>
  <c r="J108" i="1"/>
  <c r="J100" i="1"/>
  <c r="J92" i="1"/>
  <c r="J84" i="1"/>
  <c r="J76" i="1"/>
  <c r="J68" i="1"/>
  <c r="K146" i="1"/>
  <c r="K83" i="1"/>
  <c r="K148" i="1"/>
  <c r="K93" i="1"/>
  <c r="K140" i="1"/>
  <c r="K85" i="1"/>
  <c r="K106" i="1"/>
  <c r="K74" i="1"/>
  <c r="K64" i="1"/>
  <c r="K154" i="1"/>
  <c r="K30" i="1"/>
  <c r="K50" i="1"/>
  <c r="K42" i="1"/>
  <c r="K57" i="1"/>
  <c r="K32" i="1"/>
  <c r="K45" i="1"/>
  <c r="K51" i="1"/>
  <c r="K43" i="1"/>
  <c r="K34" i="1"/>
  <c r="K36" i="1"/>
  <c r="K54" i="1"/>
  <c r="K49" i="1"/>
  <c r="K41" i="1"/>
  <c r="K46" i="1"/>
  <c r="K59" i="1"/>
  <c r="K58" i="1"/>
  <c r="K52" i="1"/>
  <c r="K44" i="1"/>
  <c r="K37" i="1"/>
  <c r="K35" i="1"/>
  <c r="K55" i="1"/>
  <c r="K63" i="1"/>
  <c r="K31" i="1"/>
  <c r="K62" i="1"/>
  <c r="K38" i="1"/>
  <c r="K60" i="1"/>
  <c r="K47" i="1"/>
  <c r="K39" i="1"/>
  <c r="K33" i="1"/>
  <c r="K53" i="1"/>
  <c r="K56" i="1"/>
  <c r="K61" i="1"/>
  <c r="K48" i="1"/>
  <c r="K40" i="1"/>
  <c r="K5" i="1"/>
  <c r="K19" i="1"/>
  <c r="K4" i="1"/>
  <c r="K20" i="1"/>
  <c r="K12" i="1"/>
  <c r="K18" i="1"/>
  <c r="K10" i="1"/>
  <c r="K8" i="1"/>
  <c r="K16" i="1"/>
  <c r="K22" i="1"/>
  <c r="K14" i="1"/>
  <c r="K6" i="1"/>
  <c r="K24" i="1"/>
  <c r="K28" i="1"/>
  <c r="K25" i="1"/>
  <c r="K26" i="1"/>
  <c r="K17" i="1" l="1"/>
  <c r="K27" i="1"/>
  <c r="K21" i="1"/>
  <c r="K9" i="1"/>
  <c r="K13" i="1"/>
  <c r="K29" i="1"/>
  <c r="K15" i="1"/>
  <c r="K23" i="1"/>
  <c r="K7" i="1"/>
  <c r="K11" i="1"/>
</calcChain>
</file>

<file path=xl/sharedStrings.xml><?xml version="1.0" encoding="utf-8"?>
<sst xmlns="http://schemas.openxmlformats.org/spreadsheetml/2006/main" count="356" uniqueCount="142">
  <si>
    <t>WINZELLE SALES &amp; PURCHASE</t>
  </si>
  <si>
    <t>DATE</t>
  </si>
  <si>
    <t>QUANTITY</t>
  </si>
  <si>
    <t>PURCHASE PRICE</t>
  </si>
  <si>
    <t>DEALING PRICE</t>
  </si>
  <si>
    <t>NET PROFIT</t>
  </si>
  <si>
    <t>GROSS AMOUNT</t>
  </si>
  <si>
    <t xml:space="preserve">DISCOUNT </t>
  </si>
  <si>
    <t>TOTAL PURCHASE</t>
  </si>
  <si>
    <t>Pep Reg 195 PET/12</t>
  </si>
  <si>
    <t>Sti Str 240ml RGB/24</t>
  </si>
  <si>
    <t>Sti Str 290ml RGB/2</t>
  </si>
  <si>
    <t>Mdew Reg 8oz RGB/24</t>
  </si>
  <si>
    <t>Pep Reg 8oz RGB /24</t>
  </si>
  <si>
    <t>Sev Reg 7oz RGB /24</t>
  </si>
  <si>
    <t>Gat Blu 500ml /24</t>
  </si>
  <si>
    <t>Gat Blu 350ml /24</t>
  </si>
  <si>
    <t>Mdew Reg 290ml PET /12</t>
  </si>
  <si>
    <t>Pep Reg 1L RGB /12</t>
  </si>
  <si>
    <t>Pep Reg 195ml PET/12</t>
  </si>
  <si>
    <t>Pep Reg 290ml PET/12</t>
  </si>
  <si>
    <t>Sev Reg 295ml PET/12</t>
  </si>
  <si>
    <t>PROVIDER</t>
  </si>
  <si>
    <t>PEPSI</t>
  </si>
  <si>
    <t>PRODUCT NAME</t>
  </si>
  <si>
    <t>12% VAT</t>
  </si>
  <si>
    <t>BATMAN TRADING</t>
  </si>
  <si>
    <t>EGG XL</t>
  </si>
  <si>
    <t>FAST DISTRIBUTION</t>
  </si>
  <si>
    <t>BEARBRAND SWAK /24</t>
  </si>
  <si>
    <t>Milo /42</t>
  </si>
  <si>
    <t>Magic Sarap</t>
  </si>
  <si>
    <t>Nescafe Stick</t>
  </si>
  <si>
    <t>Nescafe Twin Orig</t>
  </si>
  <si>
    <t>Nescafe 25g</t>
  </si>
  <si>
    <t>Nestea Apple</t>
  </si>
  <si>
    <t>Nestea Lemon</t>
  </si>
  <si>
    <t>Princess Bea</t>
  </si>
  <si>
    <t>G11 GOLDEN CENTURY MARKETING</t>
  </si>
  <si>
    <t>Charmee non wings /8s</t>
  </si>
  <si>
    <t>Charmee wings /8s</t>
  </si>
  <si>
    <t>Charmee All flow wings /8s</t>
  </si>
  <si>
    <t>Charmee heavy flow pads</t>
  </si>
  <si>
    <t>EQ dry mini pack L /4s</t>
  </si>
  <si>
    <t>EQ pants M /10</t>
  </si>
  <si>
    <t>EQ pants L /10</t>
  </si>
  <si>
    <t>EQ pants mini pack M /4s</t>
  </si>
  <si>
    <t>EQ pants mini pack L /4s</t>
  </si>
  <si>
    <t>Sasas Bag</t>
  </si>
  <si>
    <t>SUVISCO INDUSTRIES INC.</t>
  </si>
  <si>
    <t>Creamsilk Green 1doz</t>
  </si>
  <si>
    <t>Surf Powder Cherry</t>
  </si>
  <si>
    <t>knorr beef/12</t>
  </si>
  <si>
    <t>knorr pork</t>
  </si>
  <si>
    <t>knorr pork+kopiko</t>
  </si>
  <si>
    <t>knorr sinigang</t>
  </si>
  <si>
    <t>GINEBRA SAN MIGUEL</t>
  </si>
  <si>
    <t>Ginebra Round</t>
  </si>
  <si>
    <t>Ginebra Frasco 4x4</t>
  </si>
  <si>
    <t>Ginebra Frasquito</t>
  </si>
  <si>
    <t>CDO RRC MARKETING</t>
  </si>
  <si>
    <t>Payless</t>
  </si>
  <si>
    <t>HAPPY NORTHMIN INC.</t>
  </si>
  <si>
    <t>Tang Assorted Flavor</t>
  </si>
  <si>
    <t>Tang Sweet Orange</t>
  </si>
  <si>
    <t>Calumet</t>
  </si>
  <si>
    <t>Eden Cheese 160g</t>
  </si>
  <si>
    <t>Eden Cheese 45g</t>
  </si>
  <si>
    <t>Oreo choco</t>
  </si>
  <si>
    <t>Oreo vanilla</t>
  </si>
  <si>
    <t>SALWIN MART</t>
  </si>
  <si>
    <t>Smart Dish Washing</t>
  </si>
  <si>
    <t>Off Overtime</t>
  </si>
  <si>
    <t>Keratin Gold</t>
  </si>
  <si>
    <t>Sticky Rice /kl</t>
  </si>
  <si>
    <t>Styro Cups</t>
  </si>
  <si>
    <t>Top Café</t>
  </si>
  <si>
    <t>Hansel Choco</t>
  </si>
  <si>
    <t>Rebisco Cracker</t>
  </si>
  <si>
    <t>Hansel Flavor Bunch</t>
  </si>
  <si>
    <t>BEARBRAND SWAK Choco</t>
  </si>
  <si>
    <t>Bearbrand jr.400g</t>
  </si>
  <si>
    <t>LEMON SQUARE</t>
  </si>
  <si>
    <t>Inipit Assorted</t>
  </si>
  <si>
    <t>Lava Cake</t>
  </si>
  <si>
    <t>Whatta tops Assorted</t>
  </si>
  <si>
    <t>Whatta tops Mango Graham</t>
  </si>
  <si>
    <t>LIMAC ENTERPRISES</t>
  </si>
  <si>
    <t>Perla Assorted</t>
  </si>
  <si>
    <t>Birtch Tree</t>
  </si>
  <si>
    <t>Birtch Tree Choco</t>
  </si>
  <si>
    <t>ANAND MKTG CORP</t>
  </si>
  <si>
    <t>CT Flakes In Oil</t>
  </si>
  <si>
    <t>CT Flakes Hot &amp; Spicy</t>
  </si>
  <si>
    <t>Fresca Flakes in Oil</t>
  </si>
  <si>
    <t>Fresca Hot &amp; Spicy</t>
  </si>
  <si>
    <t>Fresca Tuna Afritada</t>
  </si>
  <si>
    <t>Coco Mama 400ml</t>
  </si>
  <si>
    <t>555 Sardines T.S.</t>
  </si>
  <si>
    <t>Argentina Beef Loaf 250g</t>
  </si>
  <si>
    <t>Argentina Corned Beef 150g</t>
  </si>
  <si>
    <t>Hunts 175g</t>
  </si>
  <si>
    <t>Lucky 7 Carne Norte 150g</t>
  </si>
  <si>
    <t>NORTH MINDANAO DIST.</t>
  </si>
  <si>
    <t>Alphine Evap 160g</t>
  </si>
  <si>
    <t>Cowbell Condense 370g</t>
  </si>
  <si>
    <t>Alaska 300g</t>
  </si>
  <si>
    <t>Alaska powder 33g</t>
  </si>
  <si>
    <t>Mojito</t>
  </si>
  <si>
    <t>Mojito 1L</t>
  </si>
  <si>
    <t>GMB GENERAL MERCHANDISE</t>
  </si>
  <si>
    <t xml:space="preserve">PryceGas </t>
  </si>
  <si>
    <t>Super Kalan</t>
  </si>
  <si>
    <t>Nescafe Creamy White S</t>
  </si>
  <si>
    <t>Nescafe Creamy White T</t>
  </si>
  <si>
    <t>Nescafe Twin White</t>
  </si>
  <si>
    <t>Cerelac R&amp;S</t>
  </si>
  <si>
    <t>Promo Milo 99</t>
  </si>
  <si>
    <t>Nescafe Creamy Latte T 9+1</t>
  </si>
  <si>
    <t>Kopiko T Brown</t>
  </si>
  <si>
    <t>Kopiko T Blanca</t>
  </si>
  <si>
    <t>Kopiko T Black</t>
  </si>
  <si>
    <t>Ytown  Green</t>
  </si>
  <si>
    <t>LM  Beef</t>
  </si>
  <si>
    <t>LM Chicken</t>
  </si>
  <si>
    <t>Rice Red Valencia</t>
  </si>
  <si>
    <t>Rice ValenciaWhite</t>
  </si>
  <si>
    <t>Tanduay375ml</t>
  </si>
  <si>
    <t>Tanduay 250ml</t>
  </si>
  <si>
    <t>Zonrox Original 1L</t>
  </si>
  <si>
    <t>Zonrox Original 500ml</t>
  </si>
  <si>
    <t>Zonrox Original 250ml</t>
  </si>
  <si>
    <t>Zonrox Colorsafe 450ml</t>
  </si>
  <si>
    <t>Zonrox Colorsafe 225ml</t>
  </si>
  <si>
    <t>ZonroxColorsafe 95ml</t>
  </si>
  <si>
    <t>Mega Sardines Green 155g</t>
  </si>
  <si>
    <t>Mega Sardines Red 155g</t>
  </si>
  <si>
    <t>Rebisco Honey  Butter</t>
  </si>
  <si>
    <t>Zonrox Colorsafe 900ml</t>
  </si>
  <si>
    <t xml:space="preserve">Fudgee Bar Choco </t>
  </si>
  <si>
    <t>CREST HEALTH DISTRIBUTOR</t>
  </si>
  <si>
    <t>JOSHCHAM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</si>
</sst>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 tint="4.9989318521683403E-2"/>
      <name val="Times New Roman"/>
      <family val="1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43" fontId="3" fillId="0" borderId="0" xfId="1" applyFont="1" applyAlignment="1">
      <alignment horizontal="center"/>
    </xf>
    <xf numFmtId="14" fontId="3" fillId="0" borderId="0" xfId="1" applyNumberFormat="1" applyFont="1" applyAlignment="1">
      <alignment horizontal="center"/>
    </xf>
    <xf numFmtId="0" fontId="4" fillId="2" borderId="1" xfId="2" applyFont="1" applyBorder="1" applyAlignment="1">
      <alignment horizontal="center" vertical="center"/>
    </xf>
    <xf numFmtId="0" fontId="4" fillId="2" borderId="2" xfId="2" applyFont="1" applyBorder="1" applyAlignment="1">
      <alignment horizontal="center" vertical="center"/>
    </xf>
    <xf numFmtId="0" fontId="4" fillId="2" borderId="3" xfId="2" applyFont="1" applyBorder="1" applyAlignment="1">
      <alignment horizontal="center" vertical="center"/>
    </xf>
    <xf numFmtId="0" fontId="4" fillId="2" borderId="4" xfId="2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43" fontId="7" fillId="0" borderId="0" xfId="1" applyFont="1" applyAlignment="1">
      <alignment horizontal="center"/>
    </xf>
  </cellXfs>
  <cellStyles count="3">
    <cellStyle name="Accent6" xfId="2" builtinId="49"/>
    <cellStyle name="Comma" xfId="1" builtinId="3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 tint="4.9989318521683403E-2"/>
        <name val="Times New Roman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78" totalsRowCount="1" headerRowDxfId="23" dataDxfId="22">
  <autoFilter ref="A3:K177"/>
  <sortState ref="A4:K250">
    <sortCondition ref="A3:A236"/>
  </sortState>
  <tableColumns count="11">
    <tableColumn id="1" name="DATE" dataDxfId="21" totalsRowDxfId="10"/>
    <tableColumn id="10" name="PROVIDER" dataDxfId="20" totalsRowDxfId="9"/>
    <tableColumn id="2" name="QUANTITY" dataDxfId="19" totalsRowDxfId="8"/>
    <tableColumn id="3" name="PRODUCT NAME" dataDxfId="18" totalsRowDxfId="7"/>
    <tableColumn id="4" name="PURCHASE PRICE" dataDxfId="17" totalsRowDxfId="6"/>
    <tableColumn id="5" name="TOTAL PURCHASE" totalsRowFunction="custom" dataDxfId="16" totalsRowDxfId="5" dataCellStyle="Comma">
      <calculatedColumnFormula>Table1[[#This Row],[QUANTITY]]*Table1[[#This Row],[PURCHASE PRICE]]</calculatedColumnFormula>
      <totalsRowFormula>SUBTOTAL(9,F4:F177)</totalsRowFormula>
    </tableColumn>
    <tableColumn id="6" name="DEALING PRICE" dataDxfId="15" totalsRowDxfId="4"/>
    <tableColumn id="7" name="DISCOUNT " dataDxfId="14" totalsRowDxfId="3">
      <calculatedColumnFormula>Table1[[#This Row],[DEALING PRICE]]-Table1[[#This Row],[PURCHASE PRICE]]</calculatedColumnFormula>
    </tableColumn>
    <tableColumn id="8" name="GROSS AMOUNT" totalsRowFunction="custom" dataDxfId="13" totalsRowDxfId="2" dataCellStyle="Comma">
      <calculatedColumnFormula>Table1[[#This Row],[QUANTITY]]*Table1[[#This Row],[DEALING PRICE]]</calculatedColumnFormula>
      <totalsRowFormula>SUM(I4:I177)</totalsRowFormula>
    </tableColumn>
    <tableColumn id="13" name="12% VAT" totalsRowFunction="custom" dataDxfId="12" totalsRowDxfId="1" dataCellStyle="Comma">
      <calculatedColumnFormula>Table1[[#This Row],[GROSS AMOUNT]]*0.88</calculatedColumnFormula>
      <totalsRowFormula>SUM(J4:J177)</totalsRowFormula>
    </tableColumn>
    <tableColumn id="9" name="NET PROFIT" totalsRowFunction="custom" dataDxfId="11" totalsRowDxfId="0" dataCellStyle="Comma">
      <calculatedColumnFormula>Table1[[#This Row],[GROSS AMOUNT]]-Table1[[#This Row],[TOTAL PURCHASE]]</calculatedColumnFormula>
      <totalsRowFormula>SUM(K4:K177)</totalsRow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8"/>
  <sheetViews>
    <sheetView tabSelected="1" topLeftCell="D167" workbookViewId="0">
      <selection activeCell="I185" sqref="I185"/>
    </sheetView>
  </sheetViews>
  <sheetFormatPr defaultRowHeight="15.75" x14ac:dyDescent="0.25"/>
  <cols>
    <col min="1" max="1" width="13.140625" style="1" customWidth="1"/>
    <col min="2" max="2" width="38.42578125" style="1" customWidth="1"/>
    <col min="3" max="3" width="16.42578125" style="1" customWidth="1"/>
    <col min="4" max="4" width="28" style="1" customWidth="1"/>
    <col min="5" max="5" width="22.42578125" style="1" customWidth="1"/>
    <col min="6" max="6" width="23.5703125" style="1" customWidth="1"/>
    <col min="7" max="7" width="20.85546875" style="1" customWidth="1"/>
    <col min="8" max="8" width="18.140625" style="1" customWidth="1"/>
    <col min="9" max="10" width="20.85546875" style="1" customWidth="1"/>
    <col min="11" max="11" width="19.5703125" style="1" customWidth="1"/>
    <col min="12" max="12" width="11" style="1" customWidth="1"/>
    <col min="13" max="16384" width="9.140625" style="1"/>
  </cols>
  <sheetData>
    <row r="1" spans="1:12" x14ac:dyDescent="0.25">
      <c r="D1" s="10" t="s">
        <v>0</v>
      </c>
      <c r="E1" s="11"/>
    </row>
    <row r="2" spans="1:12" x14ac:dyDescent="0.25">
      <c r="A2" s="2"/>
      <c r="B2" s="2"/>
      <c r="C2" s="2"/>
      <c r="D2" s="12"/>
      <c r="E2" s="13"/>
      <c r="F2" s="2"/>
      <c r="G2" s="2"/>
      <c r="H2" s="2"/>
      <c r="I2" s="2"/>
      <c r="J2" s="2"/>
      <c r="K2" s="2"/>
      <c r="L2" s="2"/>
    </row>
    <row r="3" spans="1:12" x14ac:dyDescent="0.25">
      <c r="A3" s="7" t="s">
        <v>1</v>
      </c>
      <c r="B3" s="7" t="s">
        <v>22</v>
      </c>
      <c r="C3" s="7" t="s">
        <v>2</v>
      </c>
      <c r="D3" s="7" t="s">
        <v>24</v>
      </c>
      <c r="E3" s="7" t="s">
        <v>3</v>
      </c>
      <c r="F3" s="7" t="s">
        <v>8</v>
      </c>
      <c r="G3" s="7" t="s">
        <v>4</v>
      </c>
      <c r="H3" s="7" t="s">
        <v>7</v>
      </c>
      <c r="I3" s="7" t="s">
        <v>6</v>
      </c>
      <c r="J3" s="4" t="s">
        <v>25</v>
      </c>
      <c r="K3" s="7" t="s">
        <v>5</v>
      </c>
      <c r="L3" s="3"/>
    </row>
    <row r="4" spans="1:12" x14ac:dyDescent="0.25">
      <c r="A4" s="5">
        <v>45232</v>
      </c>
      <c r="B4" s="5" t="s">
        <v>23</v>
      </c>
      <c r="C4" s="6">
        <v>10</v>
      </c>
      <c r="D4" s="6" t="s">
        <v>19</v>
      </c>
      <c r="E4" s="8">
        <v>114</v>
      </c>
      <c r="F4" s="8">
        <f>Table1[[#This Row],[QUANTITY]]*Table1[[#This Row],[PURCHASE PRICE]]</f>
        <v>1140</v>
      </c>
      <c r="G4" s="8">
        <v>120</v>
      </c>
      <c r="H4" s="8">
        <f>Table1[[#This Row],[DEALING PRICE]]-Table1[[#This Row],[PURCHASE PRICE]]</f>
        <v>6</v>
      </c>
      <c r="I4" s="8">
        <f>Table1[[#This Row],[QUANTITY]]*Table1[[#This Row],[DEALING PRICE]]</f>
        <v>1200</v>
      </c>
      <c r="J4" s="8">
        <f>Table1[[#This Row],[GROSS AMOUNT]]*0.88</f>
        <v>1056</v>
      </c>
      <c r="K4" s="8">
        <f>Table1[[#This Row],[GROSS AMOUNT]]-Table1[[#This Row],[TOTAL PURCHASE]]</f>
        <v>60</v>
      </c>
    </row>
    <row r="5" spans="1:12" x14ac:dyDescent="0.25">
      <c r="A5" s="5">
        <v>45232</v>
      </c>
      <c r="B5" s="5" t="s">
        <v>23</v>
      </c>
      <c r="C5" s="6">
        <v>10</v>
      </c>
      <c r="D5" s="6" t="s">
        <v>20</v>
      </c>
      <c r="E5" s="8">
        <v>176</v>
      </c>
      <c r="F5" s="8">
        <f>Table1[[#This Row],[QUANTITY]]*Table1[[#This Row],[PURCHASE PRICE]]</f>
        <v>1760</v>
      </c>
      <c r="G5" s="8">
        <v>184</v>
      </c>
      <c r="H5" s="8">
        <v>8</v>
      </c>
      <c r="I5" s="8">
        <f>Table1[[#This Row],[QUANTITY]]*Table1[[#This Row],[DEALING PRICE]]</f>
        <v>1840</v>
      </c>
      <c r="J5" s="8">
        <f>Table1[[#This Row],[GROSS AMOUNT]]*0.88</f>
        <v>1619.2</v>
      </c>
      <c r="K5" s="8">
        <f>Table1[[#This Row],[GROSS AMOUNT]]-Table1[[#This Row],[TOTAL PURCHASE]]</f>
        <v>80</v>
      </c>
    </row>
    <row r="6" spans="1:12" x14ac:dyDescent="0.25">
      <c r="A6" s="5">
        <v>45232</v>
      </c>
      <c r="B6" s="5" t="s">
        <v>23</v>
      </c>
      <c r="C6" s="6">
        <v>100</v>
      </c>
      <c r="D6" s="6" t="s">
        <v>10</v>
      </c>
      <c r="E6" s="8">
        <v>280</v>
      </c>
      <c r="F6" s="8">
        <f>Table1[[#This Row],[QUANTITY]]*Table1[[#This Row],[PURCHASE PRICE]]</f>
        <v>28000</v>
      </c>
      <c r="G6" s="8">
        <v>300</v>
      </c>
      <c r="H6" s="8">
        <f>Table1[[#This Row],[DEALING PRICE]]-Table1[[#This Row],[PURCHASE PRICE]]</f>
        <v>20</v>
      </c>
      <c r="I6" s="8">
        <f>Table1[[#This Row],[QUANTITY]]*Table1[[#This Row],[DEALING PRICE]]</f>
        <v>30000</v>
      </c>
      <c r="J6" s="8">
        <f>Table1[[#This Row],[GROSS AMOUNT]]*0.88</f>
        <v>26400</v>
      </c>
      <c r="K6" s="8">
        <f>Table1[[#This Row],[GROSS AMOUNT]]-Table1[[#This Row],[TOTAL PURCHASE]]</f>
        <v>2000</v>
      </c>
    </row>
    <row r="7" spans="1:12" x14ac:dyDescent="0.25">
      <c r="A7" s="5">
        <v>45232</v>
      </c>
      <c r="B7" s="5" t="s">
        <v>23</v>
      </c>
      <c r="C7" s="6">
        <v>10</v>
      </c>
      <c r="D7" s="6" t="s">
        <v>11</v>
      </c>
      <c r="E7" s="8">
        <v>180</v>
      </c>
      <c r="F7" s="8">
        <f>Table1[[#This Row],[QUANTITY]]*Table1[[#This Row],[PURCHASE PRICE]]</f>
        <v>1800</v>
      </c>
      <c r="G7" s="8">
        <v>190</v>
      </c>
      <c r="H7" s="8">
        <f>Table1[[#This Row],[DEALING PRICE]]-Table1[[#This Row],[PURCHASE PRICE]]</f>
        <v>10</v>
      </c>
      <c r="I7" s="8">
        <f>Table1[[#This Row],[QUANTITY]]*Table1[[#This Row],[DEALING PRICE]]</f>
        <v>1900</v>
      </c>
      <c r="J7" s="8">
        <f>Table1[[#This Row],[GROSS AMOUNT]]*0.88</f>
        <v>1672</v>
      </c>
      <c r="K7" s="8">
        <f>Table1[[#This Row],[GROSS AMOUNT]]-Table1[[#This Row],[TOTAL PURCHASE]]</f>
        <v>100</v>
      </c>
    </row>
    <row r="8" spans="1:12" x14ac:dyDescent="0.25">
      <c r="A8" s="5">
        <v>45232</v>
      </c>
      <c r="B8" s="5" t="s">
        <v>23</v>
      </c>
      <c r="C8" s="6">
        <v>100</v>
      </c>
      <c r="D8" s="6" t="s">
        <v>12</v>
      </c>
      <c r="E8" s="8">
        <v>169</v>
      </c>
      <c r="F8" s="8">
        <f>Table1[[#This Row],[QUANTITY]]*Table1[[#This Row],[PURCHASE PRICE]]</f>
        <v>16900</v>
      </c>
      <c r="G8" s="8">
        <v>176</v>
      </c>
      <c r="H8" s="8">
        <f>Table1[[#This Row],[DEALING PRICE]]-Table1[[#This Row],[PURCHASE PRICE]]</f>
        <v>7</v>
      </c>
      <c r="I8" s="8">
        <f>Table1[[#This Row],[QUANTITY]]*Table1[[#This Row],[DEALING PRICE]]</f>
        <v>17600</v>
      </c>
      <c r="J8" s="8">
        <f>Table1[[#This Row],[GROSS AMOUNT]]*0.88</f>
        <v>15488</v>
      </c>
      <c r="K8" s="8">
        <f>Table1[[#This Row],[GROSS AMOUNT]]-Table1[[#This Row],[TOTAL PURCHASE]]</f>
        <v>700</v>
      </c>
    </row>
    <row r="9" spans="1:12" x14ac:dyDescent="0.25">
      <c r="A9" s="5">
        <v>45232</v>
      </c>
      <c r="B9" s="5" t="s">
        <v>23</v>
      </c>
      <c r="C9" s="6">
        <v>100</v>
      </c>
      <c r="D9" s="6" t="s">
        <v>13</v>
      </c>
      <c r="E9" s="8">
        <v>169</v>
      </c>
      <c r="F9" s="8">
        <f>Table1[[#This Row],[QUANTITY]]*Table1[[#This Row],[PURCHASE PRICE]]</f>
        <v>16900</v>
      </c>
      <c r="G9" s="8">
        <v>176</v>
      </c>
      <c r="H9" s="8">
        <f>Table1[[#This Row],[DEALING PRICE]]-Table1[[#This Row],[PURCHASE PRICE]]</f>
        <v>7</v>
      </c>
      <c r="I9" s="8">
        <f>Table1[[#This Row],[QUANTITY]]*Table1[[#This Row],[DEALING PRICE]]</f>
        <v>17600</v>
      </c>
      <c r="J9" s="8">
        <f>Table1[[#This Row],[GROSS AMOUNT]]*0.88</f>
        <v>15488</v>
      </c>
      <c r="K9" s="8">
        <f>Table1[[#This Row],[GROSS AMOUNT]]-Table1[[#This Row],[TOTAL PURCHASE]]</f>
        <v>700</v>
      </c>
    </row>
    <row r="10" spans="1:12" x14ac:dyDescent="0.25">
      <c r="A10" s="5">
        <v>45243</v>
      </c>
      <c r="B10" s="5" t="s">
        <v>23</v>
      </c>
      <c r="C10" s="6">
        <v>20</v>
      </c>
      <c r="D10" s="6" t="s">
        <v>17</v>
      </c>
      <c r="E10" s="8">
        <v>182</v>
      </c>
      <c r="F10" s="8">
        <f>Table1[[#This Row],[QUANTITY]]*Table1[[#This Row],[PURCHASE PRICE]]</f>
        <v>3640</v>
      </c>
      <c r="G10" s="8">
        <v>190</v>
      </c>
      <c r="H10" s="8">
        <f>Table1[[#This Row],[DEALING PRICE]]-Table1[[#This Row],[PURCHASE PRICE]]</f>
        <v>8</v>
      </c>
      <c r="I10" s="8">
        <f>Table1[[#This Row],[QUANTITY]]*Table1[[#This Row],[DEALING PRICE]]</f>
        <v>3800</v>
      </c>
      <c r="J10" s="8">
        <f>Table1[[#This Row],[GROSS AMOUNT]]*0.88</f>
        <v>3344</v>
      </c>
      <c r="K10" s="8">
        <f>Table1[[#This Row],[GROSS AMOUNT]]-Table1[[#This Row],[TOTAL PURCHASE]]</f>
        <v>160</v>
      </c>
    </row>
    <row r="11" spans="1:12" x14ac:dyDescent="0.25">
      <c r="A11" s="5">
        <v>45243</v>
      </c>
      <c r="B11" s="5" t="s">
        <v>23</v>
      </c>
      <c r="C11" s="6">
        <v>13</v>
      </c>
      <c r="D11" s="6" t="s">
        <v>19</v>
      </c>
      <c r="E11" s="8">
        <v>114</v>
      </c>
      <c r="F11" s="8">
        <f>Table1[[#This Row],[QUANTITY]]*Table1[[#This Row],[PURCHASE PRICE]]</f>
        <v>1482</v>
      </c>
      <c r="G11" s="8">
        <v>120</v>
      </c>
      <c r="H11" s="8">
        <f>Table1[[#This Row],[DEALING PRICE]]-Table1[[#This Row],[PURCHASE PRICE]]</f>
        <v>6</v>
      </c>
      <c r="I11" s="8">
        <f>Table1[[#This Row],[QUANTITY]]*Table1[[#This Row],[DEALING PRICE]]</f>
        <v>1560</v>
      </c>
      <c r="J11" s="8">
        <f>Table1[[#This Row],[GROSS AMOUNT]]*0.88</f>
        <v>1372.8</v>
      </c>
      <c r="K11" s="8">
        <f>Table1[[#This Row],[GROSS AMOUNT]]-Table1[[#This Row],[TOTAL PURCHASE]]</f>
        <v>78</v>
      </c>
    </row>
    <row r="12" spans="1:12" x14ac:dyDescent="0.25">
      <c r="A12" s="5">
        <v>45243</v>
      </c>
      <c r="B12" s="5" t="s">
        <v>23</v>
      </c>
      <c r="C12" s="6">
        <v>50</v>
      </c>
      <c r="D12" s="6" t="s">
        <v>10</v>
      </c>
      <c r="E12" s="8">
        <v>280</v>
      </c>
      <c r="F12" s="8">
        <f>Table1[[#This Row],[QUANTITY]]*Table1[[#This Row],[PURCHASE PRICE]]</f>
        <v>14000</v>
      </c>
      <c r="G12" s="8">
        <v>300</v>
      </c>
      <c r="H12" s="8">
        <f>Table1[[#This Row],[DEALING PRICE]]-Table1[[#This Row],[PURCHASE PRICE]]</f>
        <v>20</v>
      </c>
      <c r="I12" s="8">
        <f>Table1[[#This Row],[QUANTITY]]*Table1[[#This Row],[DEALING PRICE]]</f>
        <v>15000</v>
      </c>
      <c r="J12" s="8">
        <f>Table1[[#This Row],[GROSS AMOUNT]]*0.88</f>
        <v>13200</v>
      </c>
      <c r="K12" s="8">
        <f>Table1[[#This Row],[GROSS AMOUNT]]-Table1[[#This Row],[TOTAL PURCHASE]]</f>
        <v>1000</v>
      </c>
    </row>
    <row r="13" spans="1:12" x14ac:dyDescent="0.25">
      <c r="A13" s="5">
        <v>45243</v>
      </c>
      <c r="B13" s="5" t="s">
        <v>23</v>
      </c>
      <c r="C13" s="6">
        <v>8</v>
      </c>
      <c r="D13" s="6" t="s">
        <v>18</v>
      </c>
      <c r="E13" s="8">
        <v>351</v>
      </c>
      <c r="F13" s="8">
        <f>Table1[[#This Row],[QUANTITY]]*Table1[[#This Row],[PURCHASE PRICE]]</f>
        <v>2808</v>
      </c>
      <c r="G13" s="8">
        <v>362</v>
      </c>
      <c r="H13" s="8">
        <f>Table1[[#This Row],[DEALING PRICE]]-Table1[[#This Row],[PURCHASE PRICE]]</f>
        <v>11</v>
      </c>
      <c r="I13" s="8">
        <f>Table1[[#This Row],[QUANTITY]]*Table1[[#This Row],[DEALING PRICE]]</f>
        <v>2896</v>
      </c>
      <c r="J13" s="8">
        <f>Table1[[#This Row],[GROSS AMOUNT]]*0.88</f>
        <v>2548.48</v>
      </c>
      <c r="K13" s="8">
        <f>Table1[[#This Row],[GROSS AMOUNT]]-Table1[[#This Row],[TOTAL PURCHASE]]</f>
        <v>88</v>
      </c>
    </row>
    <row r="14" spans="1:12" x14ac:dyDescent="0.25">
      <c r="A14" s="5">
        <v>45243</v>
      </c>
      <c r="B14" s="5" t="s">
        <v>23</v>
      </c>
      <c r="C14" s="6">
        <v>30</v>
      </c>
      <c r="D14" s="6" t="s">
        <v>14</v>
      </c>
      <c r="E14" s="8">
        <v>169</v>
      </c>
      <c r="F14" s="8">
        <f>Table1[[#This Row],[QUANTITY]]*Table1[[#This Row],[PURCHASE PRICE]]</f>
        <v>5070</v>
      </c>
      <c r="G14" s="8">
        <v>176</v>
      </c>
      <c r="H14" s="8">
        <f>Table1[[#This Row],[DEALING PRICE]]-Table1[[#This Row],[PURCHASE PRICE]]</f>
        <v>7</v>
      </c>
      <c r="I14" s="8">
        <f>Table1[[#This Row],[QUANTITY]]*Table1[[#This Row],[DEALING PRICE]]</f>
        <v>5280</v>
      </c>
      <c r="J14" s="8">
        <f>Table1[[#This Row],[GROSS AMOUNT]]*0.88</f>
        <v>4646.3999999999996</v>
      </c>
      <c r="K14" s="8">
        <f>Table1[[#This Row],[GROSS AMOUNT]]-Table1[[#This Row],[TOTAL PURCHASE]]</f>
        <v>210</v>
      </c>
    </row>
    <row r="15" spans="1:12" x14ac:dyDescent="0.25">
      <c r="A15" s="5">
        <v>45245</v>
      </c>
      <c r="B15" s="5" t="s">
        <v>23</v>
      </c>
      <c r="C15" s="6">
        <v>60</v>
      </c>
      <c r="D15" s="6" t="s">
        <v>12</v>
      </c>
      <c r="E15" s="8">
        <v>169</v>
      </c>
      <c r="F15" s="8">
        <f>Table1[[#This Row],[QUANTITY]]*Table1[[#This Row],[PURCHASE PRICE]]</f>
        <v>10140</v>
      </c>
      <c r="G15" s="8">
        <v>176</v>
      </c>
      <c r="H15" s="8">
        <f>Table1[[#This Row],[DEALING PRICE]]-Table1[[#This Row],[PURCHASE PRICE]]</f>
        <v>7</v>
      </c>
      <c r="I15" s="8">
        <f>Table1[[#This Row],[QUANTITY]]*Table1[[#This Row],[DEALING PRICE]]</f>
        <v>10560</v>
      </c>
      <c r="J15" s="8">
        <f>Table1[[#This Row],[GROSS AMOUNT]]*0.88</f>
        <v>9292.7999999999993</v>
      </c>
      <c r="K15" s="8">
        <f>Table1[[#This Row],[GROSS AMOUNT]]-Table1[[#This Row],[TOTAL PURCHASE]]</f>
        <v>420</v>
      </c>
    </row>
    <row r="16" spans="1:12" x14ac:dyDescent="0.25">
      <c r="A16" s="5">
        <v>45245</v>
      </c>
      <c r="B16" s="5" t="s">
        <v>23</v>
      </c>
      <c r="C16" s="6">
        <v>10</v>
      </c>
      <c r="D16" s="6" t="s">
        <v>19</v>
      </c>
      <c r="E16" s="8">
        <v>114</v>
      </c>
      <c r="F16" s="8">
        <f>Table1[[#This Row],[QUANTITY]]*Table1[[#This Row],[PURCHASE PRICE]]</f>
        <v>1140</v>
      </c>
      <c r="G16" s="8">
        <v>120</v>
      </c>
      <c r="H16" s="8">
        <f>Table1[[#This Row],[DEALING PRICE]]-Table1[[#This Row],[PURCHASE PRICE]]</f>
        <v>6</v>
      </c>
      <c r="I16" s="8">
        <f>Table1[[#This Row],[QUANTITY]]*Table1[[#This Row],[DEALING PRICE]]</f>
        <v>1200</v>
      </c>
      <c r="J16" s="8">
        <f>Table1[[#This Row],[GROSS AMOUNT]]*0.88</f>
        <v>1056</v>
      </c>
      <c r="K16" s="8">
        <f>Table1[[#This Row],[GROSS AMOUNT]]-Table1[[#This Row],[TOTAL PURCHASE]]</f>
        <v>60</v>
      </c>
    </row>
    <row r="17" spans="1:11" x14ac:dyDescent="0.25">
      <c r="A17" s="5">
        <v>45245</v>
      </c>
      <c r="B17" s="5" t="s">
        <v>23</v>
      </c>
      <c r="C17" s="6">
        <v>20</v>
      </c>
      <c r="D17" s="6" t="s">
        <v>17</v>
      </c>
      <c r="E17" s="8">
        <v>182</v>
      </c>
      <c r="F17" s="8">
        <f>Table1[[#This Row],[QUANTITY]]*Table1[[#This Row],[PURCHASE PRICE]]</f>
        <v>3640</v>
      </c>
      <c r="G17" s="8">
        <v>192</v>
      </c>
      <c r="H17" s="8">
        <f>Table1[[#This Row],[DEALING PRICE]]-Table1[[#This Row],[PURCHASE PRICE]]</f>
        <v>10</v>
      </c>
      <c r="I17" s="8">
        <f>Table1[[#This Row],[QUANTITY]]*Table1[[#This Row],[DEALING PRICE]]</f>
        <v>3840</v>
      </c>
      <c r="J17" s="8">
        <f>Table1[[#This Row],[GROSS AMOUNT]]*0.88</f>
        <v>3379.2</v>
      </c>
      <c r="K17" s="8">
        <f>Table1[[#This Row],[GROSS AMOUNT]]-Table1[[#This Row],[TOTAL PURCHASE]]</f>
        <v>200</v>
      </c>
    </row>
    <row r="18" spans="1:11" x14ac:dyDescent="0.25">
      <c r="A18" s="5">
        <v>45245</v>
      </c>
      <c r="B18" s="5" t="s">
        <v>23</v>
      </c>
      <c r="C18" s="6">
        <v>100</v>
      </c>
      <c r="D18" s="6" t="s">
        <v>13</v>
      </c>
      <c r="E18" s="8">
        <v>169</v>
      </c>
      <c r="F18" s="8">
        <f>Table1[[#This Row],[QUANTITY]]*Table1[[#This Row],[PURCHASE PRICE]]</f>
        <v>16900</v>
      </c>
      <c r="G18" s="8">
        <v>176</v>
      </c>
      <c r="H18" s="8">
        <f>Table1[[#This Row],[DEALING PRICE]]-Table1[[#This Row],[PURCHASE PRICE]]</f>
        <v>7</v>
      </c>
      <c r="I18" s="8">
        <f>Table1[[#This Row],[QUANTITY]]*Table1[[#This Row],[DEALING PRICE]]</f>
        <v>17600</v>
      </c>
      <c r="J18" s="8">
        <f>Table1[[#This Row],[GROSS AMOUNT]]*0.88</f>
        <v>15488</v>
      </c>
      <c r="K18" s="8">
        <f>Table1[[#This Row],[GROSS AMOUNT]]-Table1[[#This Row],[TOTAL PURCHASE]]</f>
        <v>700</v>
      </c>
    </row>
    <row r="19" spans="1:11" x14ac:dyDescent="0.25">
      <c r="A19" s="5">
        <v>45245</v>
      </c>
      <c r="B19" s="5" t="s">
        <v>23</v>
      </c>
      <c r="C19" s="6">
        <v>30</v>
      </c>
      <c r="D19" s="6" t="s">
        <v>18</v>
      </c>
      <c r="E19" s="8">
        <v>351</v>
      </c>
      <c r="F19" s="8">
        <f>Table1[[#This Row],[QUANTITY]]*Table1[[#This Row],[PURCHASE PRICE]]</f>
        <v>10530</v>
      </c>
      <c r="G19" s="8">
        <v>362</v>
      </c>
      <c r="H19" s="8">
        <f>Table1[[#This Row],[DEALING PRICE]]-Table1[[#This Row],[PURCHASE PRICE]]</f>
        <v>11</v>
      </c>
      <c r="I19" s="8">
        <f>Table1[[#This Row],[QUANTITY]]*Table1[[#This Row],[DEALING PRICE]]</f>
        <v>10860</v>
      </c>
      <c r="J19" s="8">
        <f>Table1[[#This Row],[GROSS AMOUNT]]*0.88</f>
        <v>9556.7999999999993</v>
      </c>
      <c r="K19" s="8">
        <f>Table1[[#This Row],[GROSS AMOUNT]]-Table1[[#This Row],[TOTAL PURCHASE]]</f>
        <v>330</v>
      </c>
    </row>
    <row r="20" spans="1:11" x14ac:dyDescent="0.25">
      <c r="A20" s="5">
        <v>45245</v>
      </c>
      <c r="B20" s="5" t="s">
        <v>23</v>
      </c>
      <c r="C20" s="6">
        <v>10</v>
      </c>
      <c r="D20" s="6" t="s">
        <v>19</v>
      </c>
      <c r="E20" s="8">
        <v>114</v>
      </c>
      <c r="F20" s="8">
        <f>Table1[[#This Row],[QUANTITY]]*Table1[[#This Row],[PURCHASE PRICE]]</f>
        <v>1140</v>
      </c>
      <c r="G20" s="8">
        <v>120</v>
      </c>
      <c r="H20" s="8">
        <f>Table1[[#This Row],[DEALING PRICE]]-Table1[[#This Row],[PURCHASE PRICE]]</f>
        <v>6</v>
      </c>
      <c r="I20" s="8">
        <f>Table1[[#This Row],[QUANTITY]]*Table1[[#This Row],[DEALING PRICE]]</f>
        <v>1200</v>
      </c>
      <c r="J20" s="8">
        <f>Table1[[#This Row],[GROSS AMOUNT]]*0.88</f>
        <v>1056</v>
      </c>
      <c r="K20" s="8">
        <f>Table1[[#This Row],[GROSS AMOUNT]]-Table1[[#This Row],[TOTAL PURCHASE]]</f>
        <v>60</v>
      </c>
    </row>
    <row r="21" spans="1:11" x14ac:dyDescent="0.25">
      <c r="A21" s="5">
        <v>45250</v>
      </c>
      <c r="B21" s="5" t="s">
        <v>23</v>
      </c>
      <c r="C21" s="6">
        <v>50</v>
      </c>
      <c r="D21" s="6" t="s">
        <v>13</v>
      </c>
      <c r="E21" s="8">
        <v>169</v>
      </c>
      <c r="F21" s="8">
        <f>Table1[[#This Row],[QUANTITY]]*Table1[[#This Row],[PURCHASE PRICE]]</f>
        <v>8450</v>
      </c>
      <c r="G21" s="8">
        <v>176</v>
      </c>
      <c r="H21" s="8">
        <f>Table1[[#This Row],[DEALING PRICE]]-Table1[[#This Row],[PURCHASE PRICE]]</f>
        <v>7</v>
      </c>
      <c r="I21" s="8">
        <f>Table1[[#This Row],[QUANTITY]]*Table1[[#This Row],[DEALING PRICE]]</f>
        <v>8800</v>
      </c>
      <c r="J21" s="8">
        <f>Table1[[#This Row],[GROSS AMOUNT]]*0.88</f>
        <v>7744</v>
      </c>
      <c r="K21" s="8">
        <f>Table1[[#This Row],[GROSS AMOUNT]]-Table1[[#This Row],[TOTAL PURCHASE]]</f>
        <v>350</v>
      </c>
    </row>
    <row r="22" spans="1:11" x14ac:dyDescent="0.25">
      <c r="A22" s="5">
        <v>45250</v>
      </c>
      <c r="B22" s="5" t="s">
        <v>23</v>
      </c>
      <c r="C22" s="6">
        <v>10</v>
      </c>
      <c r="D22" s="6" t="s">
        <v>17</v>
      </c>
      <c r="E22" s="8">
        <v>182</v>
      </c>
      <c r="F22" s="8">
        <f>Table1[[#This Row],[QUANTITY]]*Table1[[#This Row],[PURCHASE PRICE]]</f>
        <v>1820</v>
      </c>
      <c r="G22" s="8">
        <v>190</v>
      </c>
      <c r="H22" s="8">
        <f>Table1[[#This Row],[DEALING PRICE]]-Table1[[#This Row],[PURCHASE PRICE]]</f>
        <v>8</v>
      </c>
      <c r="I22" s="8">
        <f>Table1[[#This Row],[QUANTITY]]*Table1[[#This Row],[DEALING PRICE]]</f>
        <v>1900</v>
      </c>
      <c r="J22" s="8">
        <f>Table1[[#This Row],[GROSS AMOUNT]]*0.88</f>
        <v>1672</v>
      </c>
      <c r="K22" s="8">
        <f>Table1[[#This Row],[GROSS AMOUNT]]-Table1[[#This Row],[TOTAL PURCHASE]]</f>
        <v>80</v>
      </c>
    </row>
    <row r="23" spans="1:11" x14ac:dyDescent="0.25">
      <c r="A23" s="5">
        <v>45250</v>
      </c>
      <c r="B23" s="5" t="s">
        <v>23</v>
      </c>
      <c r="C23" s="6">
        <v>20</v>
      </c>
      <c r="D23" s="6" t="s">
        <v>9</v>
      </c>
      <c r="E23" s="8">
        <v>114</v>
      </c>
      <c r="F23" s="8">
        <f>Table1[[#This Row],[QUANTITY]]*Table1[[#This Row],[PURCHASE PRICE]]</f>
        <v>2280</v>
      </c>
      <c r="G23" s="8">
        <v>120</v>
      </c>
      <c r="H23" s="8">
        <f>Table1[[#This Row],[DEALING PRICE]]-Table1[[#This Row],[PURCHASE PRICE]]</f>
        <v>6</v>
      </c>
      <c r="I23" s="8">
        <f>Table1[[#This Row],[QUANTITY]]*Table1[[#This Row],[DEALING PRICE]]</f>
        <v>2400</v>
      </c>
      <c r="J23" s="8">
        <f>Table1[[#This Row],[GROSS AMOUNT]]*0.88</f>
        <v>2112</v>
      </c>
      <c r="K23" s="8">
        <f>Table1[[#This Row],[GROSS AMOUNT]]-Table1[[#This Row],[TOTAL PURCHASE]]</f>
        <v>120</v>
      </c>
    </row>
    <row r="24" spans="1:11" x14ac:dyDescent="0.25">
      <c r="A24" s="5">
        <v>45250</v>
      </c>
      <c r="B24" s="5" t="s">
        <v>23</v>
      </c>
      <c r="C24" s="6">
        <v>50</v>
      </c>
      <c r="D24" s="6" t="s">
        <v>14</v>
      </c>
      <c r="E24" s="8">
        <v>169</v>
      </c>
      <c r="F24" s="8">
        <f>Table1[[#This Row],[QUANTITY]]*Table1[[#This Row],[PURCHASE PRICE]]</f>
        <v>8450</v>
      </c>
      <c r="G24" s="8">
        <v>176</v>
      </c>
      <c r="H24" s="8">
        <f>Table1[[#This Row],[DEALING PRICE]]-Table1[[#This Row],[PURCHASE PRICE]]</f>
        <v>7</v>
      </c>
      <c r="I24" s="8">
        <f>Table1[[#This Row],[QUANTITY]]*Table1[[#This Row],[DEALING PRICE]]</f>
        <v>8800</v>
      </c>
      <c r="J24" s="8">
        <f>Table1[[#This Row],[GROSS AMOUNT]]*0.88</f>
        <v>7744</v>
      </c>
      <c r="K24" s="8">
        <f>Table1[[#This Row],[GROSS AMOUNT]]-Table1[[#This Row],[TOTAL PURCHASE]]</f>
        <v>350</v>
      </c>
    </row>
    <row r="25" spans="1:11" x14ac:dyDescent="0.25">
      <c r="A25" s="5">
        <v>45250</v>
      </c>
      <c r="B25" s="5" t="s">
        <v>23</v>
      </c>
      <c r="C25" s="6">
        <v>70</v>
      </c>
      <c r="D25" s="6" t="s">
        <v>10</v>
      </c>
      <c r="E25" s="8">
        <v>280</v>
      </c>
      <c r="F25" s="8">
        <f>Table1[[#This Row],[QUANTITY]]*Table1[[#This Row],[PURCHASE PRICE]]</f>
        <v>19600</v>
      </c>
      <c r="G25" s="8">
        <v>300</v>
      </c>
      <c r="H25" s="8">
        <f>Table1[[#This Row],[DEALING PRICE]]-Table1[[#This Row],[PURCHASE PRICE]]</f>
        <v>20</v>
      </c>
      <c r="I25" s="8">
        <f>Table1[[#This Row],[QUANTITY]]*Table1[[#This Row],[DEALING PRICE]]</f>
        <v>21000</v>
      </c>
      <c r="J25" s="8">
        <f>Table1[[#This Row],[GROSS AMOUNT]]*0.88</f>
        <v>18480</v>
      </c>
      <c r="K25" s="8">
        <f>Table1[[#This Row],[GROSS AMOUNT]]-Table1[[#This Row],[TOTAL PURCHASE]]</f>
        <v>1400</v>
      </c>
    </row>
    <row r="26" spans="1:11" x14ac:dyDescent="0.25">
      <c r="A26" s="9">
        <v>45254</v>
      </c>
      <c r="B26" s="5" t="s">
        <v>23</v>
      </c>
      <c r="C26" s="6">
        <v>6</v>
      </c>
      <c r="D26" s="6" t="s">
        <v>9</v>
      </c>
      <c r="E26" s="8">
        <v>163</v>
      </c>
      <c r="F26" s="8">
        <f>Table1[[#This Row],[QUANTITY]]*Table1[[#This Row],[PURCHASE PRICE]]</f>
        <v>978</v>
      </c>
      <c r="G26" s="8">
        <v>169</v>
      </c>
      <c r="H26" s="8">
        <f>Table1[[#This Row],[DEALING PRICE]]-Table1[[#This Row],[PURCHASE PRICE]]</f>
        <v>6</v>
      </c>
      <c r="I26" s="8">
        <f>Table1[[#This Row],[QUANTITY]]*Table1[[#This Row],[DEALING PRICE]]</f>
        <v>1014</v>
      </c>
      <c r="J26" s="8">
        <f>Table1[[#This Row],[GROSS AMOUNT]]*0.88</f>
        <v>892.32</v>
      </c>
      <c r="K26" s="8">
        <f>Table1[[#This Row],[GROSS AMOUNT]]-Table1[[#This Row],[TOTAL PURCHASE]]</f>
        <v>36</v>
      </c>
    </row>
    <row r="27" spans="1:11" x14ac:dyDescent="0.25">
      <c r="A27" s="9">
        <v>45254</v>
      </c>
      <c r="B27" s="5" t="s">
        <v>23</v>
      </c>
      <c r="C27" s="6">
        <v>30</v>
      </c>
      <c r="D27" s="6" t="s">
        <v>14</v>
      </c>
      <c r="E27" s="8">
        <v>169</v>
      </c>
      <c r="F27" s="8">
        <f>Table1[[#This Row],[QUANTITY]]*Table1[[#This Row],[PURCHASE PRICE]]</f>
        <v>5070</v>
      </c>
      <c r="G27" s="8">
        <v>176</v>
      </c>
      <c r="H27" s="8">
        <f>Table1[[#This Row],[DEALING PRICE]]-Table1[[#This Row],[PURCHASE PRICE]]</f>
        <v>7</v>
      </c>
      <c r="I27" s="8">
        <f>Table1[[#This Row],[QUANTITY]]*Table1[[#This Row],[DEALING PRICE]]</f>
        <v>5280</v>
      </c>
      <c r="J27" s="8">
        <f>Table1[[#This Row],[GROSS AMOUNT]]*0.88</f>
        <v>4646.3999999999996</v>
      </c>
      <c r="K27" s="8">
        <f>Table1[[#This Row],[GROSS AMOUNT]]-Table1[[#This Row],[TOTAL PURCHASE]]</f>
        <v>210</v>
      </c>
    </row>
    <row r="28" spans="1:11" x14ac:dyDescent="0.25">
      <c r="A28" s="9">
        <v>45254</v>
      </c>
      <c r="B28" s="5" t="s">
        <v>23</v>
      </c>
      <c r="C28" s="6">
        <v>1</v>
      </c>
      <c r="D28" s="6" t="s">
        <v>15</v>
      </c>
      <c r="E28" s="8">
        <v>894</v>
      </c>
      <c r="F28" s="8">
        <f>Table1[[#This Row],[QUANTITY]]*Table1[[#This Row],[PURCHASE PRICE]]</f>
        <v>894</v>
      </c>
      <c r="G28" s="8">
        <v>914</v>
      </c>
      <c r="H28" s="8">
        <f>Table1[[#This Row],[DEALING PRICE]]-Table1[[#This Row],[PURCHASE PRICE]]</f>
        <v>20</v>
      </c>
      <c r="I28" s="8">
        <f>Table1[[#This Row],[QUANTITY]]*Table1[[#This Row],[DEALING PRICE]]</f>
        <v>914</v>
      </c>
      <c r="J28" s="8">
        <f>Table1[[#This Row],[GROSS AMOUNT]]*0.88</f>
        <v>804.32</v>
      </c>
      <c r="K28" s="8">
        <f>Table1[[#This Row],[GROSS AMOUNT]]-Table1[[#This Row],[TOTAL PURCHASE]]</f>
        <v>20</v>
      </c>
    </row>
    <row r="29" spans="1:11" x14ac:dyDescent="0.25">
      <c r="A29" s="9">
        <v>45254</v>
      </c>
      <c r="B29" s="5" t="s">
        <v>23</v>
      </c>
      <c r="C29" s="6">
        <v>1</v>
      </c>
      <c r="D29" s="6" t="s">
        <v>16</v>
      </c>
      <c r="E29" s="8">
        <v>695</v>
      </c>
      <c r="F29" s="8">
        <f>Table1[[#This Row],[QUANTITY]]*Table1[[#This Row],[PURCHASE PRICE]]</f>
        <v>695</v>
      </c>
      <c r="G29" s="8">
        <v>715</v>
      </c>
      <c r="H29" s="8">
        <f>Table1[[#This Row],[DEALING PRICE]]-Table1[[#This Row],[PURCHASE PRICE]]</f>
        <v>20</v>
      </c>
      <c r="I29" s="8">
        <f>Table1[[#This Row],[QUANTITY]]*Table1[[#This Row],[DEALING PRICE]]</f>
        <v>715</v>
      </c>
      <c r="J29" s="8">
        <f>Table1[[#This Row],[GROSS AMOUNT]]*0.88</f>
        <v>629.20000000000005</v>
      </c>
      <c r="K29" s="8">
        <f>Table1[[#This Row],[GROSS AMOUNT]]-Table1[[#This Row],[TOTAL PURCHASE]]</f>
        <v>20</v>
      </c>
    </row>
    <row r="30" spans="1:11" x14ac:dyDescent="0.25">
      <c r="A30" s="5">
        <v>45266</v>
      </c>
      <c r="B30" s="5" t="s">
        <v>23</v>
      </c>
      <c r="C30" s="6">
        <v>2</v>
      </c>
      <c r="D30" s="6" t="s">
        <v>19</v>
      </c>
      <c r="E30" s="8">
        <v>114</v>
      </c>
      <c r="F30" s="8">
        <f>Table1[[#This Row],[QUANTITY]]*Table1[[#This Row],[PURCHASE PRICE]]</f>
        <v>228</v>
      </c>
      <c r="G30" s="8">
        <v>120</v>
      </c>
      <c r="H30" s="8">
        <f>Table1[[#This Row],[DEALING PRICE]]-Table1[[#This Row],[PURCHASE PRICE]]</f>
        <v>6</v>
      </c>
      <c r="I30" s="8">
        <f>Table1[[#This Row],[QUANTITY]]*Table1[[#This Row],[DEALING PRICE]]</f>
        <v>240</v>
      </c>
      <c r="J30" s="8">
        <f>Table1[[#This Row],[GROSS AMOUNT]]*0.88</f>
        <v>211.2</v>
      </c>
      <c r="K30" s="8">
        <f>Table1[[#This Row],[GROSS AMOUNT]]-Table1[[#This Row],[TOTAL PURCHASE]]</f>
        <v>12</v>
      </c>
    </row>
    <row r="31" spans="1:11" x14ac:dyDescent="0.25">
      <c r="A31" s="5">
        <v>45266</v>
      </c>
      <c r="B31" s="5" t="s">
        <v>23</v>
      </c>
      <c r="C31" s="6">
        <v>10</v>
      </c>
      <c r="D31" s="6" t="s">
        <v>13</v>
      </c>
      <c r="E31" s="8">
        <v>169</v>
      </c>
      <c r="F31" s="8">
        <f>Table1[[#This Row],[QUANTITY]]*Table1[[#This Row],[PURCHASE PRICE]]</f>
        <v>1690</v>
      </c>
      <c r="G31" s="8">
        <v>176</v>
      </c>
      <c r="H31" s="8">
        <f>Table1[[#This Row],[DEALING PRICE]]-Table1[[#This Row],[PURCHASE PRICE]]</f>
        <v>7</v>
      </c>
      <c r="I31" s="8">
        <f>Table1[[#This Row],[QUANTITY]]*Table1[[#This Row],[DEALING PRICE]]</f>
        <v>1760</v>
      </c>
      <c r="J31" s="8">
        <f>Table1[[#This Row],[GROSS AMOUNT]]*0.88</f>
        <v>1548.8</v>
      </c>
      <c r="K31" s="8">
        <f>Table1[[#This Row],[GROSS AMOUNT]]-Table1[[#This Row],[TOTAL PURCHASE]]</f>
        <v>70</v>
      </c>
    </row>
    <row r="32" spans="1:11" x14ac:dyDescent="0.25">
      <c r="A32" s="5">
        <v>45266</v>
      </c>
      <c r="B32" s="5" t="s">
        <v>23</v>
      </c>
      <c r="C32" s="6">
        <v>3</v>
      </c>
      <c r="D32" s="6" t="s">
        <v>19</v>
      </c>
      <c r="E32" s="8">
        <v>114</v>
      </c>
      <c r="F32" s="8">
        <f>Table1[[#This Row],[QUANTITY]]*Table1[[#This Row],[PURCHASE PRICE]]</f>
        <v>342</v>
      </c>
      <c r="G32" s="8">
        <v>120</v>
      </c>
      <c r="H32" s="8">
        <f>Table1[[#This Row],[DEALING PRICE]]-Table1[[#This Row],[PURCHASE PRICE]]</f>
        <v>6</v>
      </c>
      <c r="I32" s="8">
        <f>Table1[[#This Row],[QUANTITY]]*Table1[[#This Row],[DEALING PRICE]]</f>
        <v>360</v>
      </c>
      <c r="J32" s="8">
        <f>Table1[[#This Row],[GROSS AMOUNT]]*0.88</f>
        <v>316.8</v>
      </c>
      <c r="K32" s="8">
        <f>Table1[[#This Row],[GROSS AMOUNT]]-Table1[[#This Row],[TOTAL PURCHASE]]</f>
        <v>18</v>
      </c>
    </row>
    <row r="33" spans="1:11" x14ac:dyDescent="0.25">
      <c r="A33" s="5">
        <v>45266</v>
      </c>
      <c r="B33" s="5" t="s">
        <v>23</v>
      </c>
      <c r="C33" s="6">
        <v>23</v>
      </c>
      <c r="D33" s="6" t="s">
        <v>14</v>
      </c>
      <c r="E33" s="8">
        <v>169</v>
      </c>
      <c r="F33" s="8">
        <f>Table1[[#This Row],[QUANTITY]]*Table1[[#This Row],[PURCHASE PRICE]]</f>
        <v>3887</v>
      </c>
      <c r="G33" s="8">
        <v>176</v>
      </c>
      <c r="H33" s="8">
        <f>Table1[[#This Row],[DEALING PRICE]]-Table1[[#This Row],[PURCHASE PRICE]]</f>
        <v>7</v>
      </c>
      <c r="I33" s="8">
        <f>Table1[[#This Row],[QUANTITY]]*Table1[[#This Row],[DEALING PRICE]]</f>
        <v>4048</v>
      </c>
      <c r="J33" s="8">
        <f>Table1[[#This Row],[GROSS AMOUNT]]*0.88</f>
        <v>3562.2400000000002</v>
      </c>
      <c r="K33" s="8">
        <f>Table1[[#This Row],[GROSS AMOUNT]]-Table1[[#This Row],[TOTAL PURCHASE]]</f>
        <v>161</v>
      </c>
    </row>
    <row r="34" spans="1:11" x14ac:dyDescent="0.25">
      <c r="A34" s="5">
        <v>45268</v>
      </c>
      <c r="B34" s="5" t="s">
        <v>23</v>
      </c>
      <c r="C34" s="6">
        <v>5</v>
      </c>
      <c r="D34" s="6" t="s">
        <v>19</v>
      </c>
      <c r="E34" s="8">
        <v>114</v>
      </c>
      <c r="F34" s="8">
        <f>Table1[[#This Row],[QUANTITY]]*Table1[[#This Row],[PURCHASE PRICE]]</f>
        <v>570</v>
      </c>
      <c r="G34" s="8">
        <v>120</v>
      </c>
      <c r="H34" s="8">
        <f>Table1[[#This Row],[DEALING PRICE]]-Table1[[#This Row],[PURCHASE PRICE]]</f>
        <v>6</v>
      </c>
      <c r="I34" s="8">
        <f>Table1[[#This Row],[QUANTITY]]*Table1[[#This Row],[DEALING PRICE]]</f>
        <v>600</v>
      </c>
      <c r="J34" s="8">
        <f>Table1[[#This Row],[GROSS AMOUNT]]*0.88</f>
        <v>528</v>
      </c>
      <c r="K34" s="8">
        <f>Table1[[#This Row],[GROSS AMOUNT]]-Table1[[#This Row],[TOTAL PURCHASE]]</f>
        <v>30</v>
      </c>
    </row>
    <row r="35" spans="1:11" x14ac:dyDescent="0.25">
      <c r="A35" s="5">
        <v>45268</v>
      </c>
      <c r="B35" s="5" t="s">
        <v>23</v>
      </c>
      <c r="C35" s="6">
        <v>30</v>
      </c>
      <c r="D35" s="6" t="s">
        <v>13</v>
      </c>
      <c r="E35" s="8">
        <v>169</v>
      </c>
      <c r="F35" s="8">
        <f>Table1[[#This Row],[QUANTITY]]*Table1[[#This Row],[PURCHASE PRICE]]</f>
        <v>5070</v>
      </c>
      <c r="G35" s="8">
        <v>176</v>
      </c>
      <c r="H35" s="8">
        <f>Table1[[#This Row],[DEALING PRICE]]-Table1[[#This Row],[PURCHASE PRICE]]</f>
        <v>7</v>
      </c>
      <c r="I35" s="8">
        <f>Table1[[#This Row],[QUANTITY]]*Table1[[#This Row],[DEALING PRICE]]</f>
        <v>5280</v>
      </c>
      <c r="J35" s="8">
        <f>Table1[[#This Row],[GROSS AMOUNT]]*0.88</f>
        <v>4646.3999999999996</v>
      </c>
      <c r="K35" s="8">
        <f>Table1[[#This Row],[GROSS AMOUNT]]-Table1[[#This Row],[TOTAL PURCHASE]]</f>
        <v>210</v>
      </c>
    </row>
    <row r="36" spans="1:11" x14ac:dyDescent="0.25">
      <c r="A36" s="5">
        <v>45268</v>
      </c>
      <c r="B36" s="5" t="s">
        <v>23</v>
      </c>
      <c r="C36" s="6">
        <v>20</v>
      </c>
      <c r="D36" s="6" t="s">
        <v>10</v>
      </c>
      <c r="E36" s="8">
        <v>280</v>
      </c>
      <c r="F36" s="8">
        <f>Table1[[#This Row],[QUANTITY]]*Table1[[#This Row],[PURCHASE PRICE]]</f>
        <v>5600</v>
      </c>
      <c r="G36" s="8">
        <v>300</v>
      </c>
      <c r="H36" s="8">
        <f>Table1[[#This Row],[DEALING PRICE]]-Table1[[#This Row],[PURCHASE PRICE]]</f>
        <v>20</v>
      </c>
      <c r="I36" s="8">
        <f>Table1[[#This Row],[QUANTITY]]*Table1[[#This Row],[DEALING PRICE]]</f>
        <v>6000</v>
      </c>
      <c r="J36" s="8">
        <f>Table1[[#This Row],[GROSS AMOUNT]]*0.88</f>
        <v>5280</v>
      </c>
      <c r="K36" s="8">
        <f>Table1[[#This Row],[GROSS AMOUNT]]-Table1[[#This Row],[TOTAL PURCHASE]]</f>
        <v>400</v>
      </c>
    </row>
    <row r="37" spans="1:11" x14ac:dyDescent="0.25">
      <c r="A37" s="5">
        <v>45271</v>
      </c>
      <c r="B37" s="5" t="s">
        <v>23</v>
      </c>
      <c r="C37" s="6">
        <v>20</v>
      </c>
      <c r="D37" s="6" t="s">
        <v>12</v>
      </c>
      <c r="E37" s="8">
        <v>169</v>
      </c>
      <c r="F37" s="8">
        <f>Table1[[#This Row],[QUANTITY]]*Table1[[#This Row],[PURCHASE PRICE]]</f>
        <v>3380</v>
      </c>
      <c r="G37" s="8">
        <v>176</v>
      </c>
      <c r="H37" s="8">
        <f>Table1[[#This Row],[DEALING PRICE]]-Table1[[#This Row],[PURCHASE PRICE]]</f>
        <v>7</v>
      </c>
      <c r="I37" s="8">
        <f>Table1[[#This Row],[QUANTITY]]*Table1[[#This Row],[DEALING PRICE]]</f>
        <v>3520</v>
      </c>
      <c r="J37" s="8">
        <f>Table1[[#This Row],[GROSS AMOUNT]]*0.88</f>
        <v>3097.6</v>
      </c>
      <c r="K37" s="8">
        <f>Table1[[#This Row],[GROSS AMOUNT]]-Table1[[#This Row],[TOTAL PURCHASE]]</f>
        <v>140</v>
      </c>
    </row>
    <row r="38" spans="1:11" x14ac:dyDescent="0.25">
      <c r="A38" s="5">
        <v>45271</v>
      </c>
      <c r="B38" s="5" t="s">
        <v>23</v>
      </c>
      <c r="C38" s="6">
        <v>3</v>
      </c>
      <c r="D38" s="6" t="s">
        <v>17</v>
      </c>
      <c r="E38" s="8">
        <v>182</v>
      </c>
      <c r="F38" s="8">
        <f>Table1[[#This Row],[QUANTITY]]*Table1[[#This Row],[PURCHASE PRICE]]</f>
        <v>546</v>
      </c>
      <c r="G38" s="8">
        <v>190</v>
      </c>
      <c r="H38" s="8">
        <f>Table1[[#This Row],[DEALING PRICE]]-Table1[[#This Row],[PURCHASE PRICE]]</f>
        <v>8</v>
      </c>
      <c r="I38" s="8">
        <f>Table1[[#This Row],[QUANTITY]]*Table1[[#This Row],[DEALING PRICE]]</f>
        <v>570</v>
      </c>
      <c r="J38" s="8">
        <f>Table1[[#This Row],[GROSS AMOUNT]]*0.88</f>
        <v>501.6</v>
      </c>
      <c r="K38" s="8">
        <f>Table1[[#This Row],[GROSS AMOUNT]]-Table1[[#This Row],[TOTAL PURCHASE]]</f>
        <v>24</v>
      </c>
    </row>
    <row r="39" spans="1:11" x14ac:dyDescent="0.25">
      <c r="A39" s="5">
        <v>45272</v>
      </c>
      <c r="B39" s="5" t="s">
        <v>23</v>
      </c>
      <c r="C39" s="6">
        <v>15</v>
      </c>
      <c r="D39" s="6" t="s">
        <v>13</v>
      </c>
      <c r="E39" s="8">
        <v>169</v>
      </c>
      <c r="F39" s="8">
        <f>Table1[[#This Row],[QUANTITY]]*Table1[[#This Row],[PURCHASE PRICE]]</f>
        <v>2535</v>
      </c>
      <c r="G39" s="8">
        <v>176</v>
      </c>
      <c r="H39" s="8">
        <f>Table1[[#This Row],[DEALING PRICE]]-Table1[[#This Row],[PURCHASE PRICE]]</f>
        <v>7</v>
      </c>
      <c r="I39" s="8">
        <f>Table1[[#This Row],[QUANTITY]]*Table1[[#This Row],[DEALING PRICE]]</f>
        <v>2640</v>
      </c>
      <c r="J39" s="8">
        <f>Table1[[#This Row],[GROSS AMOUNT]]*0.88</f>
        <v>2323.1999999999998</v>
      </c>
      <c r="K39" s="8">
        <f>Table1[[#This Row],[GROSS AMOUNT]]-Table1[[#This Row],[TOTAL PURCHASE]]</f>
        <v>105</v>
      </c>
    </row>
    <row r="40" spans="1:11" x14ac:dyDescent="0.25">
      <c r="A40" s="5">
        <v>45272</v>
      </c>
      <c r="B40" s="5" t="s">
        <v>23</v>
      </c>
      <c r="C40" s="6">
        <v>1</v>
      </c>
      <c r="D40" s="6" t="s">
        <v>19</v>
      </c>
      <c r="E40" s="8">
        <v>114</v>
      </c>
      <c r="F40" s="8">
        <f>Table1[[#This Row],[QUANTITY]]*Table1[[#This Row],[PURCHASE PRICE]]</f>
        <v>114</v>
      </c>
      <c r="G40" s="8">
        <v>120</v>
      </c>
      <c r="H40" s="8">
        <f>Table1[[#This Row],[DEALING PRICE]]-Table1[[#This Row],[PURCHASE PRICE]]</f>
        <v>6</v>
      </c>
      <c r="I40" s="8">
        <f>Table1[[#This Row],[QUANTITY]]*Table1[[#This Row],[DEALING PRICE]]</f>
        <v>120</v>
      </c>
      <c r="J40" s="8">
        <f>Table1[[#This Row],[GROSS AMOUNT]]*0.88</f>
        <v>105.6</v>
      </c>
      <c r="K40" s="8">
        <f>Table1[[#This Row],[GROSS AMOUNT]]-Table1[[#This Row],[TOTAL PURCHASE]]</f>
        <v>6</v>
      </c>
    </row>
    <row r="41" spans="1:11" x14ac:dyDescent="0.25">
      <c r="A41" s="5">
        <v>45272</v>
      </c>
      <c r="B41" s="5" t="s">
        <v>23</v>
      </c>
      <c r="C41" s="6">
        <v>20</v>
      </c>
      <c r="D41" s="6" t="s">
        <v>18</v>
      </c>
      <c r="E41" s="8">
        <v>351</v>
      </c>
      <c r="F41" s="8">
        <f>Table1[[#This Row],[QUANTITY]]*Table1[[#This Row],[PURCHASE PRICE]]</f>
        <v>7020</v>
      </c>
      <c r="G41" s="8">
        <v>362</v>
      </c>
      <c r="H41" s="8">
        <f>Table1[[#This Row],[DEALING PRICE]]-Table1[[#This Row],[PURCHASE PRICE]]</f>
        <v>11</v>
      </c>
      <c r="I41" s="8">
        <f>Table1[[#This Row],[QUANTITY]]*Table1[[#This Row],[DEALING PRICE]]</f>
        <v>7240</v>
      </c>
      <c r="J41" s="8">
        <f>Table1[[#This Row],[GROSS AMOUNT]]*0.88</f>
        <v>6371.2</v>
      </c>
      <c r="K41" s="8">
        <f>Table1[[#This Row],[GROSS AMOUNT]]-Table1[[#This Row],[TOTAL PURCHASE]]</f>
        <v>220</v>
      </c>
    </row>
    <row r="42" spans="1:11" x14ac:dyDescent="0.25">
      <c r="A42" s="5">
        <v>45273</v>
      </c>
      <c r="B42" s="5" t="s">
        <v>23</v>
      </c>
      <c r="C42" s="6">
        <v>15</v>
      </c>
      <c r="D42" s="6" t="s">
        <v>13</v>
      </c>
      <c r="E42" s="8">
        <v>169</v>
      </c>
      <c r="F42" s="8">
        <f>Table1[[#This Row],[QUANTITY]]*Table1[[#This Row],[PURCHASE PRICE]]</f>
        <v>2535</v>
      </c>
      <c r="G42" s="8">
        <v>176</v>
      </c>
      <c r="H42" s="8">
        <f>Table1[[#This Row],[DEALING PRICE]]-Table1[[#This Row],[PURCHASE PRICE]]</f>
        <v>7</v>
      </c>
      <c r="I42" s="8">
        <f>Table1[[#This Row],[QUANTITY]]*Table1[[#This Row],[DEALING PRICE]]</f>
        <v>2640</v>
      </c>
      <c r="J42" s="8">
        <f>Table1[[#This Row],[GROSS AMOUNT]]*0.88</f>
        <v>2323.1999999999998</v>
      </c>
      <c r="K42" s="8">
        <f>Table1[[#This Row],[GROSS AMOUNT]]-Table1[[#This Row],[TOTAL PURCHASE]]</f>
        <v>105</v>
      </c>
    </row>
    <row r="43" spans="1:11" x14ac:dyDescent="0.25">
      <c r="A43" s="5">
        <v>45273</v>
      </c>
      <c r="B43" s="5" t="s">
        <v>23</v>
      </c>
      <c r="C43" s="6">
        <v>6</v>
      </c>
      <c r="D43" s="6" t="s">
        <v>21</v>
      </c>
      <c r="E43" s="8">
        <v>182</v>
      </c>
      <c r="F43" s="8">
        <f>Table1[[#This Row],[QUANTITY]]*Table1[[#This Row],[PURCHASE PRICE]]</f>
        <v>1092</v>
      </c>
      <c r="G43" s="8">
        <v>190</v>
      </c>
      <c r="H43" s="8">
        <f>Table1[[#This Row],[DEALING PRICE]]-Table1[[#This Row],[PURCHASE PRICE]]</f>
        <v>8</v>
      </c>
      <c r="I43" s="8">
        <f>Table1[[#This Row],[QUANTITY]]*Table1[[#This Row],[DEALING PRICE]]</f>
        <v>1140</v>
      </c>
      <c r="J43" s="8">
        <f>Table1[[#This Row],[GROSS AMOUNT]]*0.88</f>
        <v>1003.2</v>
      </c>
      <c r="K43" s="8">
        <f>Table1[[#This Row],[GROSS AMOUNT]]-Table1[[#This Row],[TOTAL PURCHASE]]</f>
        <v>48</v>
      </c>
    </row>
    <row r="44" spans="1:11" x14ac:dyDescent="0.25">
      <c r="A44" s="5">
        <v>45273</v>
      </c>
      <c r="B44" s="5" t="s">
        <v>23</v>
      </c>
      <c r="C44" s="6">
        <v>30</v>
      </c>
      <c r="D44" s="6" t="s">
        <v>10</v>
      </c>
      <c r="E44" s="8">
        <v>280</v>
      </c>
      <c r="F44" s="8">
        <f>Table1[[#This Row],[QUANTITY]]*Table1[[#This Row],[PURCHASE PRICE]]</f>
        <v>8400</v>
      </c>
      <c r="G44" s="8">
        <v>300</v>
      </c>
      <c r="H44" s="8">
        <f>Table1[[#This Row],[DEALING PRICE]]-Table1[[#This Row],[PURCHASE PRICE]]</f>
        <v>20</v>
      </c>
      <c r="I44" s="8">
        <f>Table1[[#This Row],[QUANTITY]]*Table1[[#This Row],[DEALING PRICE]]</f>
        <v>9000</v>
      </c>
      <c r="J44" s="8">
        <f>Table1[[#This Row],[GROSS AMOUNT]]*0.88</f>
        <v>7920</v>
      </c>
      <c r="K44" s="8">
        <f>Table1[[#This Row],[GROSS AMOUNT]]-Table1[[#This Row],[TOTAL PURCHASE]]</f>
        <v>600</v>
      </c>
    </row>
    <row r="45" spans="1:11" x14ac:dyDescent="0.25">
      <c r="A45" s="5">
        <v>45275</v>
      </c>
      <c r="B45" s="5" t="s">
        <v>23</v>
      </c>
      <c r="C45" s="6">
        <v>15</v>
      </c>
      <c r="D45" s="6" t="s">
        <v>12</v>
      </c>
      <c r="E45" s="8">
        <v>169</v>
      </c>
      <c r="F45" s="8">
        <f>Table1[[#This Row],[QUANTITY]]*Table1[[#This Row],[PURCHASE PRICE]]</f>
        <v>2535</v>
      </c>
      <c r="G45" s="8">
        <v>176</v>
      </c>
      <c r="H45" s="8">
        <f>Table1[[#This Row],[DEALING PRICE]]-Table1[[#This Row],[PURCHASE PRICE]]</f>
        <v>7</v>
      </c>
      <c r="I45" s="8">
        <f>Table1[[#This Row],[QUANTITY]]*Table1[[#This Row],[DEALING PRICE]]</f>
        <v>2640</v>
      </c>
      <c r="J45" s="8">
        <f>Table1[[#This Row],[GROSS AMOUNT]]*0.88</f>
        <v>2323.1999999999998</v>
      </c>
      <c r="K45" s="8">
        <f>Table1[[#This Row],[GROSS AMOUNT]]-Table1[[#This Row],[TOTAL PURCHASE]]</f>
        <v>105</v>
      </c>
    </row>
    <row r="46" spans="1:11" x14ac:dyDescent="0.25">
      <c r="A46" s="5">
        <v>45275</v>
      </c>
      <c r="B46" s="5" t="s">
        <v>23</v>
      </c>
      <c r="C46" s="6">
        <v>20</v>
      </c>
      <c r="D46" s="6" t="s">
        <v>13</v>
      </c>
      <c r="E46" s="8">
        <v>169</v>
      </c>
      <c r="F46" s="8">
        <f>Table1[[#This Row],[QUANTITY]]*Table1[[#This Row],[PURCHASE PRICE]]</f>
        <v>3380</v>
      </c>
      <c r="G46" s="8">
        <v>176</v>
      </c>
      <c r="H46" s="8">
        <f>Table1[[#This Row],[DEALING PRICE]]-Table1[[#This Row],[PURCHASE PRICE]]</f>
        <v>7</v>
      </c>
      <c r="I46" s="8">
        <f>Table1[[#This Row],[QUANTITY]]*Table1[[#This Row],[DEALING PRICE]]</f>
        <v>3520</v>
      </c>
      <c r="J46" s="8">
        <f>Table1[[#This Row],[GROSS AMOUNT]]*0.88</f>
        <v>3097.6</v>
      </c>
      <c r="K46" s="8">
        <f>Table1[[#This Row],[GROSS AMOUNT]]-Table1[[#This Row],[TOTAL PURCHASE]]</f>
        <v>140</v>
      </c>
    </row>
    <row r="47" spans="1:11" x14ac:dyDescent="0.25">
      <c r="A47" s="5">
        <v>45275</v>
      </c>
      <c r="B47" s="5" t="s">
        <v>23</v>
      </c>
      <c r="C47" s="6">
        <v>20</v>
      </c>
      <c r="D47" s="6" t="s">
        <v>17</v>
      </c>
      <c r="E47" s="8">
        <v>182</v>
      </c>
      <c r="F47" s="8">
        <f>Table1[[#This Row],[QUANTITY]]*Table1[[#This Row],[PURCHASE PRICE]]</f>
        <v>3640</v>
      </c>
      <c r="G47" s="8">
        <v>190</v>
      </c>
      <c r="H47" s="8">
        <f>Table1[[#This Row],[DEALING PRICE]]-Table1[[#This Row],[PURCHASE PRICE]]</f>
        <v>8</v>
      </c>
      <c r="I47" s="8">
        <f>Table1[[#This Row],[QUANTITY]]*Table1[[#This Row],[DEALING PRICE]]</f>
        <v>3800</v>
      </c>
      <c r="J47" s="8">
        <f>Table1[[#This Row],[GROSS AMOUNT]]*0.88</f>
        <v>3344</v>
      </c>
      <c r="K47" s="8">
        <f>Table1[[#This Row],[GROSS AMOUNT]]-Table1[[#This Row],[TOTAL PURCHASE]]</f>
        <v>160</v>
      </c>
    </row>
    <row r="48" spans="1:11" x14ac:dyDescent="0.25">
      <c r="A48" s="5">
        <v>45278</v>
      </c>
      <c r="B48" s="5" t="s">
        <v>23</v>
      </c>
      <c r="C48" s="6">
        <v>20</v>
      </c>
      <c r="D48" s="6" t="s">
        <v>13</v>
      </c>
      <c r="E48" s="8">
        <v>169</v>
      </c>
      <c r="F48" s="8">
        <f>Table1[[#This Row],[QUANTITY]]*Table1[[#This Row],[PURCHASE PRICE]]</f>
        <v>3380</v>
      </c>
      <c r="G48" s="8">
        <v>176</v>
      </c>
      <c r="H48" s="8">
        <f>Table1[[#This Row],[DEALING PRICE]]-Table1[[#This Row],[PURCHASE PRICE]]</f>
        <v>7</v>
      </c>
      <c r="I48" s="8">
        <f>Table1[[#This Row],[QUANTITY]]*Table1[[#This Row],[DEALING PRICE]]</f>
        <v>3520</v>
      </c>
      <c r="J48" s="8">
        <f>Table1[[#This Row],[GROSS AMOUNT]]*0.88</f>
        <v>3097.6</v>
      </c>
      <c r="K48" s="8">
        <f>Table1[[#This Row],[GROSS AMOUNT]]-Table1[[#This Row],[TOTAL PURCHASE]]</f>
        <v>140</v>
      </c>
    </row>
    <row r="49" spans="1:11" x14ac:dyDescent="0.25">
      <c r="A49" s="5">
        <v>45278</v>
      </c>
      <c r="B49" s="5" t="s">
        <v>23</v>
      </c>
      <c r="C49" s="6">
        <v>2</v>
      </c>
      <c r="D49" s="6" t="s">
        <v>20</v>
      </c>
      <c r="E49" s="8">
        <v>174</v>
      </c>
      <c r="F49" s="8">
        <f>Table1[[#This Row],[QUANTITY]]*Table1[[#This Row],[PURCHASE PRICE]]</f>
        <v>348</v>
      </c>
      <c r="G49" s="8">
        <v>184</v>
      </c>
      <c r="H49" s="8">
        <f>Table1[[#This Row],[DEALING PRICE]]-Table1[[#This Row],[PURCHASE PRICE]]</f>
        <v>10</v>
      </c>
      <c r="I49" s="8">
        <f>Table1[[#This Row],[QUANTITY]]*Table1[[#This Row],[DEALING PRICE]]</f>
        <v>368</v>
      </c>
      <c r="J49" s="8">
        <f>Table1[[#This Row],[GROSS AMOUNT]]*0.88</f>
        <v>323.83999999999997</v>
      </c>
      <c r="K49" s="8">
        <f>Table1[[#This Row],[GROSS AMOUNT]]-Table1[[#This Row],[TOTAL PURCHASE]]</f>
        <v>20</v>
      </c>
    </row>
    <row r="50" spans="1:11" x14ac:dyDescent="0.25">
      <c r="A50" s="5">
        <v>45280</v>
      </c>
      <c r="B50" s="5" t="s">
        <v>23</v>
      </c>
      <c r="C50" s="6">
        <v>50</v>
      </c>
      <c r="D50" s="6" t="s">
        <v>18</v>
      </c>
      <c r="E50" s="8">
        <v>351</v>
      </c>
      <c r="F50" s="8">
        <f>Table1[[#This Row],[QUANTITY]]*Table1[[#This Row],[PURCHASE PRICE]]</f>
        <v>17550</v>
      </c>
      <c r="G50" s="8">
        <v>362</v>
      </c>
      <c r="H50" s="8">
        <f>Table1[[#This Row],[DEALING PRICE]]-Table1[[#This Row],[PURCHASE PRICE]]</f>
        <v>11</v>
      </c>
      <c r="I50" s="8">
        <f>Table1[[#This Row],[QUANTITY]]*Table1[[#This Row],[DEALING PRICE]]</f>
        <v>18100</v>
      </c>
      <c r="J50" s="8">
        <f>Table1[[#This Row],[GROSS AMOUNT]]*0.88</f>
        <v>15928</v>
      </c>
      <c r="K50" s="8">
        <f>Table1[[#This Row],[GROSS AMOUNT]]-Table1[[#This Row],[TOTAL PURCHASE]]</f>
        <v>550</v>
      </c>
    </row>
    <row r="51" spans="1:11" x14ac:dyDescent="0.25">
      <c r="A51" s="5">
        <v>45280</v>
      </c>
      <c r="B51" s="5" t="s">
        <v>23</v>
      </c>
      <c r="C51" s="6">
        <v>30</v>
      </c>
      <c r="D51" s="6" t="s">
        <v>10</v>
      </c>
      <c r="E51" s="8">
        <v>280</v>
      </c>
      <c r="F51" s="8">
        <f>Table1[[#This Row],[QUANTITY]]*Table1[[#This Row],[PURCHASE PRICE]]</f>
        <v>8400</v>
      </c>
      <c r="G51" s="8">
        <v>300</v>
      </c>
      <c r="H51" s="8">
        <f>Table1[[#This Row],[DEALING PRICE]]-Table1[[#This Row],[PURCHASE PRICE]]</f>
        <v>20</v>
      </c>
      <c r="I51" s="8">
        <f>Table1[[#This Row],[QUANTITY]]*Table1[[#This Row],[DEALING PRICE]]</f>
        <v>9000</v>
      </c>
      <c r="J51" s="8">
        <f>Table1[[#This Row],[GROSS AMOUNT]]*0.88</f>
        <v>7920</v>
      </c>
      <c r="K51" s="8">
        <f>Table1[[#This Row],[GROSS AMOUNT]]-Table1[[#This Row],[TOTAL PURCHASE]]</f>
        <v>600</v>
      </c>
    </row>
    <row r="52" spans="1:11" x14ac:dyDescent="0.25">
      <c r="A52" s="5">
        <v>45280</v>
      </c>
      <c r="B52" s="5" t="s">
        <v>23</v>
      </c>
      <c r="C52" s="6">
        <v>3</v>
      </c>
      <c r="D52" s="6" t="s">
        <v>19</v>
      </c>
      <c r="E52" s="8">
        <v>114</v>
      </c>
      <c r="F52" s="8">
        <f>Table1[[#This Row],[QUANTITY]]*Table1[[#This Row],[PURCHASE PRICE]]</f>
        <v>342</v>
      </c>
      <c r="G52" s="8">
        <v>120</v>
      </c>
      <c r="H52" s="8">
        <f>Table1[[#This Row],[DEALING PRICE]]-Table1[[#This Row],[PURCHASE PRICE]]</f>
        <v>6</v>
      </c>
      <c r="I52" s="8">
        <f>Table1[[#This Row],[QUANTITY]]*Table1[[#This Row],[DEALING PRICE]]</f>
        <v>360</v>
      </c>
      <c r="J52" s="8">
        <f>Table1[[#This Row],[GROSS AMOUNT]]*0.88</f>
        <v>316.8</v>
      </c>
      <c r="K52" s="8">
        <f>Table1[[#This Row],[GROSS AMOUNT]]-Table1[[#This Row],[TOTAL PURCHASE]]</f>
        <v>18</v>
      </c>
    </row>
    <row r="53" spans="1:11" x14ac:dyDescent="0.25">
      <c r="A53" s="5">
        <v>45282</v>
      </c>
      <c r="B53" s="5" t="s">
        <v>23</v>
      </c>
      <c r="C53" s="6">
        <v>20</v>
      </c>
      <c r="D53" s="6" t="s">
        <v>13</v>
      </c>
      <c r="E53" s="8">
        <v>169</v>
      </c>
      <c r="F53" s="8">
        <f>Table1[[#This Row],[QUANTITY]]*Table1[[#This Row],[PURCHASE PRICE]]</f>
        <v>3380</v>
      </c>
      <c r="G53" s="8">
        <v>176</v>
      </c>
      <c r="H53" s="8">
        <f>Table1[[#This Row],[DEALING PRICE]]-Table1[[#This Row],[PURCHASE PRICE]]</f>
        <v>7</v>
      </c>
      <c r="I53" s="8">
        <f>Table1[[#This Row],[QUANTITY]]*Table1[[#This Row],[DEALING PRICE]]</f>
        <v>3520</v>
      </c>
      <c r="J53" s="8">
        <f>Table1[[#This Row],[GROSS AMOUNT]]*0.88</f>
        <v>3097.6</v>
      </c>
      <c r="K53" s="8">
        <f>Table1[[#This Row],[GROSS AMOUNT]]-Table1[[#This Row],[TOTAL PURCHASE]]</f>
        <v>140</v>
      </c>
    </row>
    <row r="54" spans="1:11" x14ac:dyDescent="0.25">
      <c r="A54" s="5">
        <v>45282</v>
      </c>
      <c r="B54" s="5" t="s">
        <v>23</v>
      </c>
      <c r="C54" s="6">
        <v>10</v>
      </c>
      <c r="D54" s="6" t="s">
        <v>12</v>
      </c>
      <c r="E54" s="8">
        <v>169</v>
      </c>
      <c r="F54" s="8">
        <f>Table1[[#This Row],[QUANTITY]]*Table1[[#This Row],[PURCHASE PRICE]]</f>
        <v>1690</v>
      </c>
      <c r="G54" s="8">
        <v>176</v>
      </c>
      <c r="H54" s="8">
        <f>Table1[[#This Row],[DEALING PRICE]]-Table1[[#This Row],[PURCHASE PRICE]]</f>
        <v>7</v>
      </c>
      <c r="I54" s="8">
        <f>Table1[[#This Row],[QUANTITY]]*Table1[[#This Row],[DEALING PRICE]]</f>
        <v>1760</v>
      </c>
      <c r="J54" s="8">
        <f>Table1[[#This Row],[GROSS AMOUNT]]*0.88</f>
        <v>1548.8</v>
      </c>
      <c r="K54" s="8">
        <f>Table1[[#This Row],[GROSS AMOUNT]]-Table1[[#This Row],[TOTAL PURCHASE]]</f>
        <v>70</v>
      </c>
    </row>
    <row r="55" spans="1:11" x14ac:dyDescent="0.25">
      <c r="A55" s="5">
        <v>45282</v>
      </c>
      <c r="B55" s="5" t="s">
        <v>23</v>
      </c>
      <c r="C55" s="6">
        <v>3</v>
      </c>
      <c r="D55" s="6" t="s">
        <v>19</v>
      </c>
      <c r="E55" s="8">
        <v>114</v>
      </c>
      <c r="F55" s="8">
        <f>Table1[[#This Row],[QUANTITY]]*Table1[[#This Row],[PURCHASE PRICE]]</f>
        <v>342</v>
      </c>
      <c r="G55" s="8">
        <v>120</v>
      </c>
      <c r="H55" s="8">
        <f>Table1[[#This Row],[DEALING PRICE]]-Table1[[#This Row],[PURCHASE PRICE]]</f>
        <v>6</v>
      </c>
      <c r="I55" s="8">
        <f>Table1[[#This Row],[QUANTITY]]*Table1[[#This Row],[DEALING PRICE]]</f>
        <v>360</v>
      </c>
      <c r="J55" s="8">
        <f>Table1[[#This Row],[GROSS AMOUNT]]*0.88</f>
        <v>316.8</v>
      </c>
      <c r="K55" s="8">
        <f>Table1[[#This Row],[GROSS AMOUNT]]-Table1[[#This Row],[TOTAL PURCHASE]]</f>
        <v>18</v>
      </c>
    </row>
    <row r="56" spans="1:11" x14ac:dyDescent="0.25">
      <c r="A56" s="5">
        <v>45283</v>
      </c>
      <c r="B56" s="5" t="s">
        <v>23</v>
      </c>
      <c r="C56" s="6">
        <v>10</v>
      </c>
      <c r="D56" s="6" t="s">
        <v>19</v>
      </c>
      <c r="E56" s="8">
        <v>114</v>
      </c>
      <c r="F56" s="8">
        <f>Table1[[#This Row],[QUANTITY]]*Table1[[#This Row],[PURCHASE PRICE]]</f>
        <v>1140</v>
      </c>
      <c r="G56" s="8">
        <v>120</v>
      </c>
      <c r="H56" s="8">
        <f>Table1[[#This Row],[DEALING PRICE]]-Table1[[#This Row],[PURCHASE PRICE]]</f>
        <v>6</v>
      </c>
      <c r="I56" s="8">
        <f>Table1[[#This Row],[QUANTITY]]*Table1[[#This Row],[DEALING PRICE]]</f>
        <v>1200</v>
      </c>
      <c r="J56" s="8">
        <f>Table1[[#This Row],[GROSS AMOUNT]]*0.88</f>
        <v>1056</v>
      </c>
      <c r="K56" s="8">
        <f>Table1[[#This Row],[GROSS AMOUNT]]-Table1[[#This Row],[TOTAL PURCHASE]]</f>
        <v>60</v>
      </c>
    </row>
    <row r="57" spans="1:11" x14ac:dyDescent="0.25">
      <c r="A57" s="5">
        <v>45283</v>
      </c>
      <c r="B57" s="5" t="s">
        <v>23</v>
      </c>
      <c r="C57" s="6">
        <v>100</v>
      </c>
      <c r="D57" s="6" t="s">
        <v>10</v>
      </c>
      <c r="E57" s="8">
        <v>280</v>
      </c>
      <c r="F57" s="8">
        <f>Table1[[#This Row],[QUANTITY]]*Table1[[#This Row],[PURCHASE PRICE]]</f>
        <v>28000</v>
      </c>
      <c r="G57" s="8">
        <v>300</v>
      </c>
      <c r="H57" s="8">
        <f>Table1[[#This Row],[DEALING PRICE]]-Table1[[#This Row],[PURCHASE PRICE]]</f>
        <v>20</v>
      </c>
      <c r="I57" s="8">
        <f>Table1[[#This Row],[QUANTITY]]*Table1[[#This Row],[DEALING PRICE]]</f>
        <v>30000</v>
      </c>
      <c r="J57" s="8">
        <f>Table1[[#This Row],[GROSS AMOUNT]]*0.88</f>
        <v>26400</v>
      </c>
      <c r="K57" s="8">
        <f>Table1[[#This Row],[GROSS AMOUNT]]-Table1[[#This Row],[TOTAL PURCHASE]]</f>
        <v>2000</v>
      </c>
    </row>
    <row r="58" spans="1:11" x14ac:dyDescent="0.25">
      <c r="A58" s="5">
        <v>45288</v>
      </c>
      <c r="B58" s="5" t="s">
        <v>23</v>
      </c>
      <c r="C58" s="6">
        <v>100</v>
      </c>
      <c r="D58" s="6" t="s">
        <v>12</v>
      </c>
      <c r="E58" s="8">
        <v>169</v>
      </c>
      <c r="F58" s="8">
        <f>Table1[[#This Row],[QUANTITY]]*Table1[[#This Row],[PURCHASE PRICE]]</f>
        <v>16900</v>
      </c>
      <c r="G58" s="8">
        <v>176</v>
      </c>
      <c r="H58" s="8">
        <f>Table1[[#This Row],[DEALING PRICE]]-Table1[[#This Row],[PURCHASE PRICE]]</f>
        <v>7</v>
      </c>
      <c r="I58" s="8">
        <f>Table1[[#This Row],[QUANTITY]]*Table1[[#This Row],[DEALING PRICE]]</f>
        <v>17600</v>
      </c>
      <c r="J58" s="8">
        <f>Table1[[#This Row],[GROSS AMOUNT]]*0.88</f>
        <v>15488</v>
      </c>
      <c r="K58" s="8">
        <f>Table1[[#This Row],[GROSS AMOUNT]]-Table1[[#This Row],[TOTAL PURCHASE]]</f>
        <v>700</v>
      </c>
    </row>
    <row r="59" spans="1:11" x14ac:dyDescent="0.25">
      <c r="A59" s="5">
        <v>45288</v>
      </c>
      <c r="B59" s="5" t="s">
        <v>23</v>
      </c>
      <c r="C59" s="6">
        <v>15</v>
      </c>
      <c r="D59" s="6" t="s">
        <v>20</v>
      </c>
      <c r="E59" s="8">
        <v>176</v>
      </c>
      <c r="F59" s="8">
        <f>Table1[[#This Row],[QUANTITY]]*Table1[[#This Row],[PURCHASE PRICE]]</f>
        <v>2640</v>
      </c>
      <c r="G59" s="8">
        <v>184</v>
      </c>
      <c r="H59" s="8">
        <f>Table1[[#This Row],[DEALING PRICE]]-Table1[[#This Row],[PURCHASE PRICE]]</f>
        <v>8</v>
      </c>
      <c r="I59" s="8">
        <f>Table1[[#This Row],[QUANTITY]]*Table1[[#This Row],[DEALING PRICE]]</f>
        <v>2760</v>
      </c>
      <c r="J59" s="8">
        <f>Table1[[#This Row],[GROSS AMOUNT]]*0.88</f>
        <v>2428.8000000000002</v>
      </c>
      <c r="K59" s="8">
        <f>Table1[[#This Row],[GROSS AMOUNT]]-Table1[[#This Row],[TOTAL PURCHASE]]</f>
        <v>120</v>
      </c>
    </row>
    <row r="60" spans="1:11" x14ac:dyDescent="0.25">
      <c r="A60" s="5">
        <v>45290</v>
      </c>
      <c r="B60" s="5" t="s">
        <v>23</v>
      </c>
      <c r="C60" s="6">
        <v>15</v>
      </c>
      <c r="D60" s="6" t="s">
        <v>20</v>
      </c>
      <c r="E60" s="8">
        <v>176</v>
      </c>
      <c r="F60" s="8">
        <f>Table1[[#This Row],[QUANTITY]]*Table1[[#This Row],[PURCHASE PRICE]]</f>
        <v>2640</v>
      </c>
      <c r="G60" s="8">
        <v>184</v>
      </c>
      <c r="H60" s="8">
        <f>Table1[[#This Row],[DEALING PRICE]]-Table1[[#This Row],[PURCHASE PRICE]]</f>
        <v>8</v>
      </c>
      <c r="I60" s="8">
        <f>Table1[[#This Row],[QUANTITY]]*Table1[[#This Row],[DEALING PRICE]]</f>
        <v>2760</v>
      </c>
      <c r="J60" s="8">
        <f>Table1[[#This Row],[GROSS AMOUNT]]*0.88</f>
        <v>2428.8000000000002</v>
      </c>
      <c r="K60" s="8">
        <f>Table1[[#This Row],[GROSS AMOUNT]]-Table1[[#This Row],[TOTAL PURCHASE]]</f>
        <v>120</v>
      </c>
    </row>
    <row r="61" spans="1:11" x14ac:dyDescent="0.25">
      <c r="A61" s="5">
        <v>45290</v>
      </c>
      <c r="B61" s="5" t="s">
        <v>23</v>
      </c>
      <c r="C61" s="6">
        <v>56</v>
      </c>
      <c r="D61" s="6" t="s">
        <v>10</v>
      </c>
      <c r="E61" s="8">
        <v>280</v>
      </c>
      <c r="F61" s="8">
        <f>Table1[[#This Row],[QUANTITY]]*Table1[[#This Row],[PURCHASE PRICE]]</f>
        <v>15680</v>
      </c>
      <c r="G61" s="8">
        <v>300</v>
      </c>
      <c r="H61" s="8">
        <f>Table1[[#This Row],[DEALING PRICE]]-Table1[[#This Row],[PURCHASE PRICE]]</f>
        <v>20</v>
      </c>
      <c r="I61" s="8">
        <f>Table1[[#This Row],[QUANTITY]]*Table1[[#This Row],[DEALING PRICE]]</f>
        <v>16800</v>
      </c>
      <c r="J61" s="8">
        <f>Table1[[#This Row],[GROSS AMOUNT]]*0.88</f>
        <v>14784</v>
      </c>
      <c r="K61" s="8">
        <f>Table1[[#This Row],[GROSS AMOUNT]]-Table1[[#This Row],[TOTAL PURCHASE]]</f>
        <v>1120</v>
      </c>
    </row>
    <row r="62" spans="1:11" x14ac:dyDescent="0.25">
      <c r="A62" s="5">
        <v>45290</v>
      </c>
      <c r="B62" s="5" t="s">
        <v>23</v>
      </c>
      <c r="C62" s="6">
        <v>10</v>
      </c>
      <c r="D62" s="6" t="s">
        <v>16</v>
      </c>
      <c r="E62" s="8">
        <v>695</v>
      </c>
      <c r="F62" s="8">
        <f>Table1[[#This Row],[QUANTITY]]*Table1[[#This Row],[PURCHASE PRICE]]</f>
        <v>6950</v>
      </c>
      <c r="G62" s="8">
        <v>715</v>
      </c>
      <c r="H62" s="8">
        <f>Table1[[#This Row],[DEALING PRICE]]-Table1[[#This Row],[PURCHASE PRICE]]</f>
        <v>20</v>
      </c>
      <c r="I62" s="8">
        <f>Table1[[#This Row],[QUANTITY]]*Table1[[#This Row],[DEALING PRICE]]</f>
        <v>7150</v>
      </c>
      <c r="J62" s="8">
        <f>Table1[[#This Row],[GROSS AMOUNT]]*0.88</f>
        <v>6292</v>
      </c>
      <c r="K62" s="8">
        <f>Table1[[#This Row],[GROSS AMOUNT]]-Table1[[#This Row],[TOTAL PURCHASE]]</f>
        <v>200</v>
      </c>
    </row>
    <row r="63" spans="1:11" x14ac:dyDescent="0.25">
      <c r="A63" s="5">
        <v>45290</v>
      </c>
      <c r="B63" s="5" t="s">
        <v>23</v>
      </c>
      <c r="C63" s="6">
        <v>100</v>
      </c>
      <c r="D63" s="6" t="s">
        <v>18</v>
      </c>
      <c r="E63" s="8">
        <v>351</v>
      </c>
      <c r="F63" s="8">
        <f>Table1[[#This Row],[QUANTITY]]*Table1[[#This Row],[PURCHASE PRICE]]</f>
        <v>35100</v>
      </c>
      <c r="G63" s="8">
        <v>362</v>
      </c>
      <c r="H63" s="8">
        <f>Table1[[#This Row],[DEALING PRICE]]-Table1[[#This Row],[PURCHASE PRICE]]</f>
        <v>11</v>
      </c>
      <c r="I63" s="8">
        <f>Table1[[#This Row],[QUANTITY]]*Table1[[#This Row],[DEALING PRICE]]</f>
        <v>36200</v>
      </c>
      <c r="J63" s="8">
        <f>Table1[[#This Row],[GROSS AMOUNT]]*0.88</f>
        <v>31856</v>
      </c>
      <c r="K63" s="8">
        <f>Table1[[#This Row],[GROSS AMOUNT]]-Table1[[#This Row],[TOTAL PURCHASE]]</f>
        <v>1100</v>
      </c>
    </row>
    <row r="64" spans="1:11" x14ac:dyDescent="0.25">
      <c r="A64" s="5">
        <v>45260</v>
      </c>
      <c r="B64" s="5" t="s">
        <v>26</v>
      </c>
      <c r="C64" s="6">
        <v>100</v>
      </c>
      <c r="D64" s="6" t="s">
        <v>27</v>
      </c>
      <c r="E64" s="8">
        <v>240</v>
      </c>
      <c r="F64" s="8">
        <f>Table1[[#This Row],[QUANTITY]]*Table1[[#This Row],[PURCHASE PRICE]]</f>
        <v>24000</v>
      </c>
      <c r="G64" s="8">
        <v>250</v>
      </c>
      <c r="H64" s="8">
        <f>Table1[[#This Row],[DEALING PRICE]]-Table1[[#This Row],[PURCHASE PRICE]]</f>
        <v>10</v>
      </c>
      <c r="I64" s="8">
        <f>Table1[[#This Row],[QUANTITY]]*Table1[[#This Row],[DEALING PRICE]]</f>
        <v>25000</v>
      </c>
      <c r="J64" s="8">
        <f>Table1[[#This Row],[GROSS AMOUNT]]*0.88</f>
        <v>22000</v>
      </c>
      <c r="K64" s="8">
        <f>Table1[[#This Row],[GROSS AMOUNT]]-Table1[[#This Row],[TOTAL PURCHASE]]</f>
        <v>1000</v>
      </c>
    </row>
    <row r="65" spans="1:11" x14ac:dyDescent="0.25">
      <c r="A65" s="5">
        <v>45260</v>
      </c>
      <c r="B65" s="5" t="s">
        <v>28</v>
      </c>
      <c r="C65" s="6">
        <v>120</v>
      </c>
      <c r="D65" s="6" t="s">
        <v>29</v>
      </c>
      <c r="E65" s="8">
        <v>83.954999999999998</v>
      </c>
      <c r="F65" s="8">
        <f>Table1[[#This Row],[QUANTITY]]*Table1[[#This Row],[PURCHASE PRICE]]</f>
        <v>10074.6</v>
      </c>
      <c r="G65" s="8">
        <v>87</v>
      </c>
      <c r="H65" s="8">
        <f>Table1[[#This Row],[DEALING PRICE]]-Table1[[#This Row],[PURCHASE PRICE]]</f>
        <v>3.0450000000000017</v>
      </c>
      <c r="I65" s="8">
        <f>Table1[[#This Row],[QUANTITY]]*Table1[[#This Row],[DEALING PRICE]]</f>
        <v>10440</v>
      </c>
      <c r="J65" s="8">
        <f>Table1[[#This Row],[GROSS AMOUNT]]*0.88</f>
        <v>9187.2000000000007</v>
      </c>
      <c r="K65" s="8">
        <f>Table1[[#This Row],[GROSS AMOUNT]]-Table1[[#This Row],[TOTAL PURCHASE]]</f>
        <v>365.39999999999964</v>
      </c>
    </row>
    <row r="66" spans="1:11" x14ac:dyDescent="0.25">
      <c r="A66" s="5">
        <v>45260</v>
      </c>
      <c r="B66" s="5" t="s">
        <v>28</v>
      </c>
      <c r="C66" s="6">
        <v>42</v>
      </c>
      <c r="D66" s="6" t="s">
        <v>30</v>
      </c>
      <c r="E66" s="8">
        <v>103.1</v>
      </c>
      <c r="F66" s="8">
        <f>Table1[[#This Row],[QUANTITY]]*Table1[[#This Row],[PURCHASE PRICE]]</f>
        <v>4330.2</v>
      </c>
      <c r="G66" s="8">
        <v>106</v>
      </c>
      <c r="H66" s="8">
        <f>Table1[[#This Row],[DEALING PRICE]]-Table1[[#This Row],[PURCHASE PRICE]]</f>
        <v>2.9000000000000057</v>
      </c>
      <c r="I66" s="8">
        <f>Table1[[#This Row],[QUANTITY]]*Table1[[#This Row],[DEALING PRICE]]</f>
        <v>4452</v>
      </c>
      <c r="J66" s="8">
        <f>Table1[[#This Row],[GROSS AMOUNT]]*0.88</f>
        <v>3917.76</v>
      </c>
      <c r="K66" s="8">
        <f>Table1[[#This Row],[GROSS AMOUNT]]-Table1[[#This Row],[TOTAL PURCHASE]]</f>
        <v>121.80000000000018</v>
      </c>
    </row>
    <row r="67" spans="1:11" x14ac:dyDescent="0.25">
      <c r="A67" s="5">
        <v>45260</v>
      </c>
      <c r="B67" s="5" t="s">
        <v>28</v>
      </c>
      <c r="C67" s="6">
        <v>60</v>
      </c>
      <c r="D67" s="6" t="s">
        <v>31</v>
      </c>
      <c r="E67" s="8">
        <v>60.8</v>
      </c>
      <c r="F67" s="8">
        <f>Table1[[#This Row],[QUANTITY]]*Table1[[#This Row],[PURCHASE PRICE]]</f>
        <v>3648</v>
      </c>
      <c r="G67" s="8">
        <v>63</v>
      </c>
      <c r="H67" s="8">
        <f>Table1[[#This Row],[DEALING PRICE]]-Table1[[#This Row],[PURCHASE PRICE]]</f>
        <v>2.2000000000000028</v>
      </c>
      <c r="I67" s="8">
        <f>Table1[[#This Row],[QUANTITY]]*Table1[[#This Row],[DEALING PRICE]]</f>
        <v>3780</v>
      </c>
      <c r="J67" s="8">
        <f>Table1[[#This Row],[GROSS AMOUNT]]*0.88</f>
        <v>3326.4</v>
      </c>
      <c r="K67" s="8">
        <f>Table1[[#This Row],[GROSS AMOUNT]]-Table1[[#This Row],[TOTAL PURCHASE]]</f>
        <v>132</v>
      </c>
    </row>
    <row r="68" spans="1:11" x14ac:dyDescent="0.25">
      <c r="A68" s="5">
        <v>45260</v>
      </c>
      <c r="B68" s="5" t="s">
        <v>28</v>
      </c>
      <c r="C68" s="6">
        <v>21</v>
      </c>
      <c r="D68" s="6" t="s">
        <v>32</v>
      </c>
      <c r="E68" s="8">
        <v>108</v>
      </c>
      <c r="F68" s="8">
        <f>Table1[[#This Row],[QUANTITY]]*Table1[[#This Row],[PURCHASE PRICE]]</f>
        <v>2268</v>
      </c>
      <c r="G68" s="8">
        <v>110</v>
      </c>
      <c r="H68" s="8">
        <f>Table1[[#This Row],[DEALING PRICE]]-Table1[[#This Row],[PURCHASE PRICE]]</f>
        <v>2</v>
      </c>
      <c r="I68" s="8">
        <f>Table1[[#This Row],[QUANTITY]]*Table1[[#This Row],[DEALING PRICE]]</f>
        <v>2310</v>
      </c>
      <c r="J68" s="8">
        <f>Table1[[#This Row],[GROSS AMOUNT]]*0.88</f>
        <v>2032.8</v>
      </c>
      <c r="K68" s="8">
        <f>Table1[[#This Row],[GROSS AMOUNT]]-Table1[[#This Row],[TOTAL PURCHASE]]</f>
        <v>42</v>
      </c>
    </row>
    <row r="69" spans="1:11" x14ac:dyDescent="0.25">
      <c r="A69" s="5">
        <v>45260</v>
      </c>
      <c r="B69" s="5" t="s">
        <v>28</v>
      </c>
      <c r="C69" s="6">
        <v>20</v>
      </c>
      <c r="D69" s="6" t="s">
        <v>33</v>
      </c>
      <c r="E69" s="8">
        <v>118.5</v>
      </c>
      <c r="F69" s="8">
        <f>Table1[[#This Row],[QUANTITY]]*Table1[[#This Row],[PURCHASE PRICE]]</f>
        <v>2370</v>
      </c>
      <c r="G69" s="8">
        <v>121</v>
      </c>
      <c r="H69" s="8">
        <f>Table1[[#This Row],[DEALING PRICE]]-Table1[[#This Row],[PURCHASE PRICE]]</f>
        <v>2.5</v>
      </c>
      <c r="I69" s="8">
        <f>Table1[[#This Row],[QUANTITY]]*Table1[[#This Row],[DEALING PRICE]]</f>
        <v>2420</v>
      </c>
      <c r="J69" s="8">
        <f>Table1[[#This Row],[GROSS AMOUNT]]*0.88</f>
        <v>2129.6</v>
      </c>
      <c r="K69" s="8">
        <f>Table1[[#This Row],[GROSS AMOUNT]]-Table1[[#This Row],[TOTAL PURCHASE]]</f>
        <v>50</v>
      </c>
    </row>
    <row r="70" spans="1:11" x14ac:dyDescent="0.25">
      <c r="A70" s="5">
        <v>45260</v>
      </c>
      <c r="B70" s="5" t="s">
        <v>28</v>
      </c>
      <c r="C70" s="6">
        <v>20</v>
      </c>
      <c r="D70" s="6" t="s">
        <v>115</v>
      </c>
      <c r="E70" s="8">
        <v>118.5</v>
      </c>
      <c r="F70" s="8">
        <f>Table1[[#This Row],[QUANTITY]]*Table1[[#This Row],[PURCHASE PRICE]]</f>
        <v>2370</v>
      </c>
      <c r="G70" s="8">
        <v>121</v>
      </c>
      <c r="H70" s="8">
        <f>Table1[[#This Row],[DEALING PRICE]]-Table1[[#This Row],[PURCHASE PRICE]]</f>
        <v>2.5</v>
      </c>
      <c r="I70" s="8">
        <f>Table1[[#This Row],[QUANTITY]]*Table1[[#This Row],[DEALING PRICE]]</f>
        <v>2420</v>
      </c>
      <c r="J70" s="8">
        <f>Table1[[#This Row],[GROSS AMOUNT]]*0.88</f>
        <v>2129.6</v>
      </c>
      <c r="K70" s="8">
        <f>Table1[[#This Row],[GROSS AMOUNT]]-Table1[[#This Row],[TOTAL PURCHASE]]</f>
        <v>50</v>
      </c>
    </row>
    <row r="71" spans="1:11" x14ac:dyDescent="0.25">
      <c r="A71" s="5">
        <v>45260</v>
      </c>
      <c r="B71" s="5" t="s">
        <v>28</v>
      </c>
      <c r="C71" s="6">
        <v>60</v>
      </c>
      <c r="D71" s="6" t="s">
        <v>34</v>
      </c>
      <c r="E71" s="8">
        <v>20.149999999999999</v>
      </c>
      <c r="F71" s="8">
        <f>Table1[[#This Row],[QUANTITY]]*Table1[[#This Row],[PURCHASE PRICE]]</f>
        <v>1209</v>
      </c>
      <c r="G71" s="8">
        <v>22</v>
      </c>
      <c r="H71" s="8">
        <f>Table1[[#This Row],[DEALING PRICE]]-Table1[[#This Row],[PURCHASE PRICE]]</f>
        <v>1.8500000000000014</v>
      </c>
      <c r="I71" s="8">
        <f>Table1[[#This Row],[QUANTITY]]*Table1[[#This Row],[DEALING PRICE]]</f>
        <v>1320</v>
      </c>
      <c r="J71" s="8">
        <f>Table1[[#This Row],[GROSS AMOUNT]]*0.88</f>
        <v>1161.5999999999999</v>
      </c>
      <c r="K71" s="8">
        <f>Table1[[#This Row],[GROSS AMOUNT]]-Table1[[#This Row],[TOTAL PURCHASE]]</f>
        <v>111</v>
      </c>
    </row>
    <row r="72" spans="1:11" x14ac:dyDescent="0.25">
      <c r="A72" s="5">
        <v>45260</v>
      </c>
      <c r="B72" s="5" t="s">
        <v>28</v>
      </c>
      <c r="C72" s="6">
        <v>3</v>
      </c>
      <c r="D72" s="6" t="s">
        <v>35</v>
      </c>
      <c r="E72" s="8">
        <v>223.56</v>
      </c>
      <c r="F72" s="8">
        <f>Table1[[#This Row],[QUANTITY]]*Table1[[#This Row],[PURCHASE PRICE]]</f>
        <v>670.68000000000006</v>
      </c>
      <c r="G72" s="8">
        <v>228</v>
      </c>
      <c r="H72" s="8">
        <f>Table1[[#This Row],[DEALING PRICE]]-Table1[[#This Row],[PURCHASE PRICE]]</f>
        <v>4.4399999999999977</v>
      </c>
      <c r="I72" s="8">
        <f>Table1[[#This Row],[QUANTITY]]*Table1[[#This Row],[DEALING PRICE]]</f>
        <v>684</v>
      </c>
      <c r="J72" s="8">
        <f>Table1[[#This Row],[GROSS AMOUNT]]*0.88</f>
        <v>601.91999999999996</v>
      </c>
      <c r="K72" s="8">
        <f>Table1[[#This Row],[GROSS AMOUNT]]-Table1[[#This Row],[TOTAL PURCHASE]]</f>
        <v>13.319999999999936</v>
      </c>
    </row>
    <row r="73" spans="1:11" x14ac:dyDescent="0.25">
      <c r="A73" s="5">
        <v>45260</v>
      </c>
      <c r="B73" s="5" t="s">
        <v>28</v>
      </c>
      <c r="C73" s="6">
        <v>3</v>
      </c>
      <c r="D73" s="6" t="s">
        <v>36</v>
      </c>
      <c r="E73" s="8">
        <v>223.56</v>
      </c>
      <c r="F73" s="8">
        <f>Table1[[#This Row],[QUANTITY]]*Table1[[#This Row],[PURCHASE PRICE]]</f>
        <v>670.68000000000006</v>
      </c>
      <c r="G73" s="8">
        <v>228</v>
      </c>
      <c r="H73" s="8">
        <f>Table1[[#This Row],[DEALING PRICE]]-Table1[[#This Row],[PURCHASE PRICE]]</f>
        <v>4.4399999999999977</v>
      </c>
      <c r="I73" s="8">
        <f>Table1[[#This Row],[QUANTITY]]*Table1[[#This Row],[DEALING PRICE]]</f>
        <v>684</v>
      </c>
      <c r="J73" s="8">
        <f>Table1[[#This Row],[GROSS AMOUNT]]*0.88</f>
        <v>601.91999999999996</v>
      </c>
      <c r="K73" s="8">
        <f>Table1[[#This Row],[GROSS AMOUNT]]-Table1[[#This Row],[TOTAL PURCHASE]]</f>
        <v>13.319999999999936</v>
      </c>
    </row>
    <row r="74" spans="1:11" x14ac:dyDescent="0.25">
      <c r="A74" s="5">
        <v>45256</v>
      </c>
      <c r="B74" s="5" t="s">
        <v>26</v>
      </c>
      <c r="C74" s="6">
        <v>53</v>
      </c>
      <c r="D74" s="6" t="s">
        <v>37</v>
      </c>
      <c r="E74" s="8">
        <v>1300</v>
      </c>
      <c r="F74" s="8">
        <f>Table1[[#This Row],[QUANTITY]]*Table1[[#This Row],[PURCHASE PRICE]]</f>
        <v>68900</v>
      </c>
      <c r="G74" s="8">
        <v>1330</v>
      </c>
      <c r="H74" s="8">
        <f>Table1[[#This Row],[DEALING PRICE]]-Table1[[#This Row],[PURCHASE PRICE]]</f>
        <v>30</v>
      </c>
      <c r="I74" s="8">
        <f>Table1[[#This Row],[QUANTITY]]*Table1[[#This Row],[DEALING PRICE]]</f>
        <v>70490</v>
      </c>
      <c r="J74" s="8">
        <f>Table1[[#This Row],[GROSS AMOUNT]]*0.88</f>
        <v>62031.199999999997</v>
      </c>
      <c r="K74" s="8">
        <f>Table1[[#This Row],[GROSS AMOUNT]]-Table1[[#This Row],[TOTAL PURCHASE]]</f>
        <v>1590</v>
      </c>
    </row>
    <row r="75" spans="1:11" x14ac:dyDescent="0.25">
      <c r="A75" s="5">
        <v>45260</v>
      </c>
      <c r="B75" s="5" t="s">
        <v>38</v>
      </c>
      <c r="C75" s="6">
        <v>3</v>
      </c>
      <c r="D75" s="6" t="s">
        <v>39</v>
      </c>
      <c r="E75" s="8">
        <v>16.649999999999999</v>
      </c>
      <c r="F75" s="8">
        <f>Table1[[#This Row],[QUANTITY]]*Table1[[#This Row],[PURCHASE PRICE]]</f>
        <v>49.949999999999996</v>
      </c>
      <c r="G75" s="8">
        <v>19</v>
      </c>
      <c r="H75" s="8">
        <f>Table1[[#This Row],[DEALING PRICE]]-Table1[[#This Row],[PURCHASE PRICE]]</f>
        <v>2.3500000000000014</v>
      </c>
      <c r="I75" s="8">
        <f>Table1[[#This Row],[QUANTITY]]*Table1[[#This Row],[DEALING PRICE]]</f>
        <v>57</v>
      </c>
      <c r="J75" s="8">
        <f>Table1[[#This Row],[GROSS AMOUNT]]*0.88</f>
        <v>50.160000000000004</v>
      </c>
      <c r="K75" s="8">
        <f>Table1[[#This Row],[GROSS AMOUNT]]-Table1[[#This Row],[TOTAL PURCHASE]]</f>
        <v>7.0500000000000043</v>
      </c>
    </row>
    <row r="76" spans="1:11" x14ac:dyDescent="0.25">
      <c r="A76" s="5">
        <v>45260</v>
      </c>
      <c r="B76" s="5" t="s">
        <v>38</v>
      </c>
      <c r="C76" s="6">
        <v>3</v>
      </c>
      <c r="D76" s="6" t="s">
        <v>40</v>
      </c>
      <c r="E76" s="8">
        <v>25</v>
      </c>
      <c r="F76" s="8">
        <f>Table1[[#This Row],[QUANTITY]]*Table1[[#This Row],[PURCHASE PRICE]]</f>
        <v>75</v>
      </c>
      <c r="G76" s="8">
        <v>27</v>
      </c>
      <c r="H76" s="8">
        <f>Table1[[#This Row],[DEALING PRICE]]-Table1[[#This Row],[PURCHASE PRICE]]</f>
        <v>2</v>
      </c>
      <c r="I76" s="8">
        <f>Table1[[#This Row],[QUANTITY]]*Table1[[#This Row],[DEALING PRICE]]</f>
        <v>81</v>
      </c>
      <c r="J76" s="8">
        <f>Table1[[#This Row],[GROSS AMOUNT]]*0.88</f>
        <v>71.28</v>
      </c>
      <c r="K76" s="8">
        <f>Table1[[#This Row],[GROSS AMOUNT]]-Table1[[#This Row],[TOTAL PURCHASE]]</f>
        <v>6</v>
      </c>
    </row>
    <row r="77" spans="1:11" x14ac:dyDescent="0.25">
      <c r="A77" s="5">
        <v>45260</v>
      </c>
      <c r="B77" s="5" t="s">
        <v>38</v>
      </c>
      <c r="C77" s="6">
        <v>3</v>
      </c>
      <c r="D77" s="6" t="s">
        <v>41</v>
      </c>
      <c r="E77" s="8">
        <v>18.75</v>
      </c>
      <c r="F77" s="8">
        <f>Table1[[#This Row],[QUANTITY]]*Table1[[#This Row],[PURCHASE PRICE]]</f>
        <v>56.25</v>
      </c>
      <c r="G77" s="8">
        <v>21</v>
      </c>
      <c r="H77" s="8">
        <f>Table1[[#This Row],[DEALING PRICE]]-Table1[[#This Row],[PURCHASE PRICE]]</f>
        <v>2.25</v>
      </c>
      <c r="I77" s="8">
        <f>Table1[[#This Row],[QUANTITY]]*Table1[[#This Row],[DEALING PRICE]]</f>
        <v>63</v>
      </c>
      <c r="J77" s="8">
        <f>Table1[[#This Row],[GROSS AMOUNT]]*0.88</f>
        <v>55.44</v>
      </c>
      <c r="K77" s="8">
        <f>Table1[[#This Row],[GROSS AMOUNT]]-Table1[[#This Row],[TOTAL PURCHASE]]</f>
        <v>6.75</v>
      </c>
    </row>
    <row r="78" spans="1:11" x14ac:dyDescent="0.25">
      <c r="A78" s="5">
        <v>45260</v>
      </c>
      <c r="B78" s="5" t="s">
        <v>38</v>
      </c>
      <c r="C78" s="6">
        <v>3</v>
      </c>
      <c r="D78" s="6" t="s">
        <v>42</v>
      </c>
      <c r="E78" s="8">
        <v>21.85</v>
      </c>
      <c r="F78" s="8">
        <f>Table1[[#This Row],[QUANTITY]]*Table1[[#This Row],[PURCHASE PRICE]]</f>
        <v>65.550000000000011</v>
      </c>
      <c r="G78" s="8">
        <v>24</v>
      </c>
      <c r="H78" s="8">
        <f>Table1[[#This Row],[DEALING PRICE]]-Table1[[#This Row],[PURCHASE PRICE]]</f>
        <v>2.1499999999999986</v>
      </c>
      <c r="I78" s="8">
        <f>Table1[[#This Row],[QUANTITY]]*Table1[[#This Row],[DEALING PRICE]]</f>
        <v>72</v>
      </c>
      <c r="J78" s="8">
        <f>Table1[[#This Row],[GROSS AMOUNT]]*0.88</f>
        <v>63.36</v>
      </c>
      <c r="K78" s="8">
        <f>Table1[[#This Row],[GROSS AMOUNT]]-Table1[[#This Row],[TOTAL PURCHASE]]</f>
        <v>6.4499999999999886</v>
      </c>
    </row>
    <row r="79" spans="1:11" x14ac:dyDescent="0.25">
      <c r="A79" s="5">
        <v>45260</v>
      </c>
      <c r="B79" s="5" t="s">
        <v>38</v>
      </c>
      <c r="C79" s="6">
        <v>3</v>
      </c>
      <c r="D79" s="6" t="s">
        <v>43</v>
      </c>
      <c r="E79" s="8">
        <v>40.869999999999997</v>
      </c>
      <c r="F79" s="8">
        <f>Table1[[#This Row],[QUANTITY]]*Table1[[#This Row],[PURCHASE PRICE]]</f>
        <v>122.60999999999999</v>
      </c>
      <c r="G79" s="8">
        <v>43</v>
      </c>
      <c r="H79" s="8">
        <f>Table1[[#This Row],[DEALING PRICE]]-Table1[[#This Row],[PURCHASE PRICE]]</f>
        <v>2.1300000000000026</v>
      </c>
      <c r="I79" s="8">
        <f>Table1[[#This Row],[QUANTITY]]*Table1[[#This Row],[DEALING PRICE]]</f>
        <v>129</v>
      </c>
      <c r="J79" s="8">
        <f>Table1[[#This Row],[GROSS AMOUNT]]*0.88</f>
        <v>113.52</v>
      </c>
      <c r="K79" s="8">
        <f>Table1[[#This Row],[GROSS AMOUNT]]-Table1[[#This Row],[TOTAL PURCHASE]]</f>
        <v>6.3900000000000148</v>
      </c>
    </row>
    <row r="80" spans="1:11" x14ac:dyDescent="0.25">
      <c r="A80" s="5">
        <v>45260</v>
      </c>
      <c r="B80" s="5" t="s">
        <v>38</v>
      </c>
      <c r="C80" s="6">
        <v>10</v>
      </c>
      <c r="D80" s="6" t="s">
        <v>44</v>
      </c>
      <c r="E80" s="8">
        <v>72.95</v>
      </c>
      <c r="F80" s="8">
        <f>Table1[[#This Row],[QUANTITY]]*Table1[[#This Row],[PURCHASE PRICE]]</f>
        <v>729.5</v>
      </c>
      <c r="G80" s="8">
        <v>76</v>
      </c>
      <c r="H80" s="8">
        <f>Table1[[#This Row],[DEALING PRICE]]-Table1[[#This Row],[PURCHASE PRICE]]</f>
        <v>3.0499999999999972</v>
      </c>
      <c r="I80" s="8">
        <f>Table1[[#This Row],[QUANTITY]]*Table1[[#This Row],[DEALING PRICE]]</f>
        <v>760</v>
      </c>
      <c r="J80" s="8">
        <f>Table1[[#This Row],[GROSS AMOUNT]]*0.88</f>
        <v>668.8</v>
      </c>
      <c r="K80" s="8">
        <f>Table1[[#This Row],[GROSS AMOUNT]]-Table1[[#This Row],[TOTAL PURCHASE]]</f>
        <v>30.5</v>
      </c>
    </row>
    <row r="81" spans="1:11" x14ac:dyDescent="0.25">
      <c r="A81" s="5">
        <v>45260</v>
      </c>
      <c r="B81" s="5" t="s">
        <v>38</v>
      </c>
      <c r="C81" s="6">
        <v>1</v>
      </c>
      <c r="D81" s="6" t="s">
        <v>45</v>
      </c>
      <c r="E81" s="8">
        <v>81.95</v>
      </c>
      <c r="F81" s="8">
        <f>Table1[[#This Row],[QUANTITY]]*Table1[[#This Row],[PURCHASE PRICE]]</f>
        <v>81.95</v>
      </c>
      <c r="G81" s="8">
        <v>86</v>
      </c>
      <c r="H81" s="8">
        <f>Table1[[#This Row],[DEALING PRICE]]-Table1[[#This Row],[PURCHASE PRICE]]</f>
        <v>4.0499999999999972</v>
      </c>
      <c r="I81" s="8">
        <f>Table1[[#This Row],[QUANTITY]]*Table1[[#This Row],[DEALING PRICE]]</f>
        <v>86</v>
      </c>
      <c r="J81" s="8">
        <f>Table1[[#This Row],[GROSS AMOUNT]]*0.88</f>
        <v>75.680000000000007</v>
      </c>
      <c r="K81" s="8">
        <f>Table1[[#This Row],[GROSS AMOUNT]]-Table1[[#This Row],[TOTAL PURCHASE]]</f>
        <v>4.0499999999999972</v>
      </c>
    </row>
    <row r="82" spans="1:11" x14ac:dyDescent="0.25">
      <c r="A82" s="5">
        <v>45260</v>
      </c>
      <c r="B82" s="5" t="s">
        <v>38</v>
      </c>
      <c r="C82" s="6">
        <v>10</v>
      </c>
      <c r="D82" s="6" t="s">
        <v>46</v>
      </c>
      <c r="E82" s="8">
        <v>29.9</v>
      </c>
      <c r="F82" s="8">
        <f>Table1[[#This Row],[QUANTITY]]*Table1[[#This Row],[PURCHASE PRICE]]</f>
        <v>299</v>
      </c>
      <c r="G82" s="8">
        <v>32</v>
      </c>
      <c r="H82" s="8">
        <f>Table1[[#This Row],[DEALING PRICE]]-Table1[[#This Row],[PURCHASE PRICE]]</f>
        <v>2.1000000000000014</v>
      </c>
      <c r="I82" s="8">
        <f>Table1[[#This Row],[QUANTITY]]*Table1[[#This Row],[DEALING PRICE]]</f>
        <v>320</v>
      </c>
      <c r="J82" s="8">
        <f>Table1[[#This Row],[GROSS AMOUNT]]*0.88</f>
        <v>281.60000000000002</v>
      </c>
      <c r="K82" s="8">
        <f>Table1[[#This Row],[GROSS AMOUNT]]-Table1[[#This Row],[TOTAL PURCHASE]]</f>
        <v>21</v>
      </c>
    </row>
    <row r="83" spans="1:11" x14ac:dyDescent="0.25">
      <c r="A83" s="5">
        <v>45260</v>
      </c>
      <c r="B83" s="5" t="s">
        <v>38</v>
      </c>
      <c r="C83" s="6">
        <v>16</v>
      </c>
      <c r="D83" s="6" t="s">
        <v>47</v>
      </c>
      <c r="E83" s="8">
        <v>33.79</v>
      </c>
      <c r="F83" s="8">
        <f>Table1[[#This Row],[QUANTITY]]*Table1[[#This Row],[PURCHASE PRICE]]</f>
        <v>540.64</v>
      </c>
      <c r="G83" s="8">
        <v>36</v>
      </c>
      <c r="H83" s="8">
        <f>Table1[[#This Row],[DEALING PRICE]]-Table1[[#This Row],[PURCHASE PRICE]]</f>
        <v>2.2100000000000009</v>
      </c>
      <c r="I83" s="8">
        <f>Table1[[#This Row],[QUANTITY]]*Table1[[#This Row],[DEALING PRICE]]</f>
        <v>576</v>
      </c>
      <c r="J83" s="8">
        <f>Table1[[#This Row],[GROSS AMOUNT]]*0.88</f>
        <v>506.88</v>
      </c>
      <c r="K83" s="8">
        <f>Table1[[#This Row],[GROSS AMOUNT]]-Table1[[#This Row],[TOTAL PURCHASE]]</f>
        <v>35.360000000000014</v>
      </c>
    </row>
    <row r="84" spans="1:11" x14ac:dyDescent="0.25">
      <c r="A84" s="5">
        <v>45260</v>
      </c>
      <c r="B84" s="5" t="s">
        <v>38</v>
      </c>
      <c r="C84" s="6">
        <v>10</v>
      </c>
      <c r="D84" s="6" t="s">
        <v>48</v>
      </c>
      <c r="E84" s="8">
        <v>18.2</v>
      </c>
      <c r="F84" s="8">
        <f>Table1[[#This Row],[QUANTITY]]*Table1[[#This Row],[PURCHASE PRICE]]</f>
        <v>182</v>
      </c>
      <c r="G84" s="8">
        <v>19</v>
      </c>
      <c r="H84" s="8">
        <f>Table1[[#This Row],[DEALING PRICE]]-Table1[[#This Row],[PURCHASE PRICE]]</f>
        <v>0.80000000000000071</v>
      </c>
      <c r="I84" s="8">
        <f>Table1[[#This Row],[QUANTITY]]*Table1[[#This Row],[DEALING PRICE]]</f>
        <v>190</v>
      </c>
      <c r="J84" s="8">
        <f>Table1[[#This Row],[GROSS AMOUNT]]*0.88</f>
        <v>167.2</v>
      </c>
      <c r="K84" s="8">
        <f>Table1[[#This Row],[GROSS AMOUNT]]-Table1[[#This Row],[TOTAL PURCHASE]]</f>
        <v>8</v>
      </c>
    </row>
    <row r="85" spans="1:11" x14ac:dyDescent="0.25">
      <c r="A85" s="5">
        <v>45259</v>
      </c>
      <c r="B85" s="5" t="s">
        <v>49</v>
      </c>
      <c r="C85" s="6">
        <v>12</v>
      </c>
      <c r="D85" s="6" t="s">
        <v>50</v>
      </c>
      <c r="E85" s="8">
        <v>6.2316599999999998</v>
      </c>
      <c r="F85" s="8">
        <f>Table1[[#This Row],[QUANTITY]]*Table1[[#This Row],[PURCHASE PRICE]]</f>
        <v>74.779920000000004</v>
      </c>
      <c r="G85" s="8">
        <v>6.4165999999999999</v>
      </c>
      <c r="H85" s="8">
        <f>Table1[[#This Row],[DEALING PRICE]]-Table1[[#This Row],[PURCHASE PRICE]]</f>
        <v>0.1849400000000001</v>
      </c>
      <c r="I85" s="8">
        <f>Table1[[#This Row],[QUANTITY]]*Table1[[#This Row],[DEALING PRICE]]</f>
        <v>76.999200000000002</v>
      </c>
      <c r="J85" s="8">
        <f>Table1[[#This Row],[GROSS AMOUNT]]*0.88</f>
        <v>67.759296000000006</v>
      </c>
      <c r="K85" s="8">
        <f>Table1[[#This Row],[GROSS AMOUNT]]-Table1[[#This Row],[TOTAL PURCHASE]]</f>
        <v>2.2192799999999977</v>
      </c>
    </row>
    <row r="86" spans="1:11" x14ac:dyDescent="0.25">
      <c r="A86" s="5">
        <v>45259</v>
      </c>
      <c r="B86" s="5" t="s">
        <v>49</v>
      </c>
      <c r="C86" s="6">
        <v>120</v>
      </c>
      <c r="D86" s="6" t="s">
        <v>51</v>
      </c>
      <c r="E86" s="8">
        <v>6.4375</v>
      </c>
      <c r="F86" s="8">
        <f>Table1[[#This Row],[QUANTITY]]*Table1[[#This Row],[PURCHASE PRICE]]</f>
        <v>772.5</v>
      </c>
      <c r="G86" s="8">
        <v>6.66</v>
      </c>
      <c r="H86" s="8">
        <f>Table1[[#This Row],[DEALING PRICE]]-Table1[[#This Row],[PURCHASE PRICE]]</f>
        <v>0.22250000000000014</v>
      </c>
      <c r="I86" s="8">
        <f>Table1[[#This Row],[QUANTITY]]*Table1[[#This Row],[DEALING PRICE]]</f>
        <v>799.2</v>
      </c>
      <c r="J86" s="8">
        <f>Table1[[#This Row],[GROSS AMOUNT]]*0.88</f>
        <v>703.29600000000005</v>
      </c>
      <c r="K86" s="8">
        <f>Table1[[#This Row],[GROSS AMOUNT]]-Table1[[#This Row],[TOTAL PURCHASE]]</f>
        <v>26.700000000000045</v>
      </c>
    </row>
    <row r="87" spans="1:11" x14ac:dyDescent="0.25">
      <c r="A87" s="5">
        <v>45259</v>
      </c>
      <c r="B87" s="5" t="s">
        <v>49</v>
      </c>
      <c r="C87" s="6">
        <v>12</v>
      </c>
      <c r="D87" s="6" t="s">
        <v>52</v>
      </c>
      <c r="E87" s="8">
        <v>70.451599999999999</v>
      </c>
      <c r="F87" s="8">
        <f>Table1[[#This Row],[QUANTITY]]*Table1[[#This Row],[PURCHASE PRICE]]</f>
        <v>845.41920000000005</v>
      </c>
      <c r="G87" s="8">
        <v>72</v>
      </c>
      <c r="H87" s="8">
        <f>Table1[[#This Row],[DEALING PRICE]]-Table1[[#This Row],[PURCHASE PRICE]]</f>
        <v>1.5484000000000009</v>
      </c>
      <c r="I87" s="8">
        <f>Table1[[#This Row],[QUANTITY]]*Table1[[#This Row],[DEALING PRICE]]</f>
        <v>864</v>
      </c>
      <c r="J87" s="8">
        <f>Table1[[#This Row],[GROSS AMOUNT]]*0.88</f>
        <v>760.32</v>
      </c>
      <c r="K87" s="8">
        <f>Table1[[#This Row],[GROSS AMOUNT]]-Table1[[#This Row],[TOTAL PURCHASE]]</f>
        <v>18.580799999999954</v>
      </c>
    </row>
    <row r="88" spans="1:11" x14ac:dyDescent="0.25">
      <c r="A88" s="5">
        <v>45259</v>
      </c>
      <c r="B88" s="5" t="s">
        <v>49</v>
      </c>
      <c r="C88" s="6">
        <v>1</v>
      </c>
      <c r="D88" s="6" t="s">
        <v>53</v>
      </c>
      <c r="E88" s="8">
        <v>70.45</v>
      </c>
      <c r="F88" s="8">
        <f>Table1[[#This Row],[QUANTITY]]*Table1[[#This Row],[PURCHASE PRICE]]</f>
        <v>70.45</v>
      </c>
      <c r="G88" s="8">
        <v>72</v>
      </c>
      <c r="H88" s="8">
        <f>Table1[[#This Row],[DEALING PRICE]]-Table1[[#This Row],[PURCHASE PRICE]]</f>
        <v>1.5499999999999972</v>
      </c>
      <c r="I88" s="8">
        <f>Table1[[#This Row],[QUANTITY]]*Table1[[#This Row],[DEALING PRICE]]</f>
        <v>72</v>
      </c>
      <c r="J88" s="8">
        <f>Table1[[#This Row],[GROSS AMOUNT]]*0.88</f>
        <v>63.36</v>
      </c>
      <c r="K88" s="8">
        <f>Table1[[#This Row],[GROSS AMOUNT]]-Table1[[#This Row],[TOTAL PURCHASE]]</f>
        <v>1.5499999999999972</v>
      </c>
    </row>
    <row r="89" spans="1:11" x14ac:dyDescent="0.25">
      <c r="A89" s="5">
        <v>45259</v>
      </c>
      <c r="B89" s="5" t="s">
        <v>49</v>
      </c>
      <c r="C89" s="6">
        <v>48</v>
      </c>
      <c r="D89" s="6" t="s">
        <v>54</v>
      </c>
      <c r="E89" s="8">
        <v>70.45</v>
      </c>
      <c r="F89" s="8">
        <f>Table1[[#This Row],[QUANTITY]]*Table1[[#This Row],[PURCHASE PRICE]]</f>
        <v>3381.6000000000004</v>
      </c>
      <c r="G89" s="8">
        <v>72</v>
      </c>
      <c r="H89" s="8">
        <f>Table1[[#This Row],[DEALING PRICE]]-Table1[[#This Row],[PURCHASE PRICE]]</f>
        <v>1.5499999999999972</v>
      </c>
      <c r="I89" s="8">
        <f>Table1[[#This Row],[QUANTITY]]*Table1[[#This Row],[DEALING PRICE]]</f>
        <v>3456</v>
      </c>
      <c r="J89" s="8">
        <f>Table1[[#This Row],[GROSS AMOUNT]]*0.88</f>
        <v>3041.28</v>
      </c>
      <c r="K89" s="8">
        <f>Table1[[#This Row],[GROSS AMOUNT]]-Table1[[#This Row],[TOTAL PURCHASE]]</f>
        <v>74.399999999999636</v>
      </c>
    </row>
    <row r="90" spans="1:11" x14ac:dyDescent="0.25">
      <c r="A90" s="5">
        <v>45259</v>
      </c>
      <c r="B90" s="5" t="s">
        <v>49</v>
      </c>
      <c r="C90" s="6">
        <v>12</v>
      </c>
      <c r="D90" s="6" t="s">
        <v>55</v>
      </c>
      <c r="E90" s="8">
        <v>6.4890999999999996</v>
      </c>
      <c r="F90" s="8">
        <f>Table1[[#This Row],[QUANTITY]]*Table1[[#This Row],[PURCHASE PRICE]]</f>
        <v>77.869199999999992</v>
      </c>
      <c r="G90" s="8">
        <v>7</v>
      </c>
      <c r="H90" s="8">
        <f>Table1[[#This Row],[DEALING PRICE]]-Table1[[#This Row],[PURCHASE PRICE]]</f>
        <v>0.51090000000000035</v>
      </c>
      <c r="I90" s="8">
        <f>Table1[[#This Row],[QUANTITY]]*Table1[[#This Row],[DEALING PRICE]]</f>
        <v>84</v>
      </c>
      <c r="J90" s="8">
        <f>Table1[[#This Row],[GROSS AMOUNT]]*0.88</f>
        <v>73.92</v>
      </c>
      <c r="K90" s="8">
        <f>Table1[[#This Row],[GROSS AMOUNT]]-Table1[[#This Row],[TOTAL PURCHASE]]</f>
        <v>6.1308000000000078</v>
      </c>
    </row>
    <row r="91" spans="1:11" x14ac:dyDescent="0.25">
      <c r="A91" s="5">
        <v>45259</v>
      </c>
      <c r="B91" s="5" t="s">
        <v>56</v>
      </c>
      <c r="C91" s="6">
        <v>72</v>
      </c>
      <c r="D91" s="6" t="s">
        <v>57</v>
      </c>
      <c r="E91" s="8">
        <v>57</v>
      </c>
      <c r="F91" s="8">
        <f>Table1[[#This Row],[QUANTITY]]*Table1[[#This Row],[PURCHASE PRICE]]</f>
        <v>4104</v>
      </c>
      <c r="G91" s="8">
        <v>60</v>
      </c>
      <c r="H91" s="8">
        <f>Table1[[#This Row],[DEALING PRICE]]-Table1[[#This Row],[PURCHASE PRICE]]</f>
        <v>3</v>
      </c>
      <c r="I91" s="8">
        <f>Table1[[#This Row],[QUANTITY]]*Table1[[#This Row],[DEALING PRICE]]</f>
        <v>4320</v>
      </c>
      <c r="J91" s="8">
        <f>Table1[[#This Row],[GROSS AMOUNT]]*0.88</f>
        <v>3801.6</v>
      </c>
      <c r="K91" s="8">
        <f>Table1[[#This Row],[GROSS AMOUNT]]-Table1[[#This Row],[TOTAL PURCHASE]]</f>
        <v>216</v>
      </c>
    </row>
    <row r="92" spans="1:11" x14ac:dyDescent="0.25">
      <c r="A92" s="5">
        <v>45259</v>
      </c>
      <c r="B92" s="5" t="s">
        <v>56</v>
      </c>
      <c r="C92" s="6">
        <v>12</v>
      </c>
      <c r="D92" s="6" t="s">
        <v>58</v>
      </c>
      <c r="E92" s="8">
        <v>113</v>
      </c>
      <c r="F92" s="8">
        <f>Table1[[#This Row],[QUANTITY]]*Table1[[#This Row],[PURCHASE PRICE]]</f>
        <v>1356</v>
      </c>
      <c r="G92" s="8">
        <v>118</v>
      </c>
      <c r="H92" s="8">
        <f>Table1[[#This Row],[DEALING PRICE]]-Table1[[#This Row],[PURCHASE PRICE]]</f>
        <v>5</v>
      </c>
      <c r="I92" s="8">
        <f>Table1[[#This Row],[QUANTITY]]*Table1[[#This Row],[DEALING PRICE]]</f>
        <v>1416</v>
      </c>
      <c r="J92" s="8">
        <f>Table1[[#This Row],[GROSS AMOUNT]]*0.88</f>
        <v>1246.08</v>
      </c>
      <c r="K92" s="8">
        <f>Table1[[#This Row],[GROSS AMOUNT]]-Table1[[#This Row],[TOTAL PURCHASE]]</f>
        <v>60</v>
      </c>
    </row>
    <row r="93" spans="1:11" x14ac:dyDescent="0.25">
      <c r="A93" s="5">
        <v>45259</v>
      </c>
      <c r="B93" s="5" t="s">
        <v>56</v>
      </c>
      <c r="C93" s="6">
        <v>24</v>
      </c>
      <c r="D93" s="6" t="s">
        <v>59</v>
      </c>
      <c r="E93" s="8">
        <v>59.5</v>
      </c>
      <c r="F93" s="8">
        <f>Table1[[#This Row],[QUANTITY]]*Table1[[#This Row],[PURCHASE PRICE]]</f>
        <v>1428</v>
      </c>
      <c r="G93" s="8">
        <v>63</v>
      </c>
      <c r="H93" s="8">
        <f>Table1[[#This Row],[DEALING PRICE]]-Table1[[#This Row],[PURCHASE PRICE]]</f>
        <v>3.5</v>
      </c>
      <c r="I93" s="8">
        <f>Table1[[#This Row],[QUANTITY]]*Table1[[#This Row],[DEALING PRICE]]</f>
        <v>1512</v>
      </c>
      <c r="J93" s="8">
        <f>Table1[[#This Row],[GROSS AMOUNT]]*0.88</f>
        <v>1330.56</v>
      </c>
      <c r="K93" s="8">
        <f>Table1[[#This Row],[GROSS AMOUNT]]-Table1[[#This Row],[TOTAL PURCHASE]]</f>
        <v>84</v>
      </c>
    </row>
    <row r="94" spans="1:11" x14ac:dyDescent="0.25">
      <c r="A94" s="5">
        <v>45258</v>
      </c>
      <c r="B94" s="5" t="s">
        <v>60</v>
      </c>
      <c r="C94" s="6">
        <v>96</v>
      </c>
      <c r="D94" s="6" t="s">
        <v>61</v>
      </c>
      <c r="E94" s="8">
        <v>17.5</v>
      </c>
      <c r="F94" s="8">
        <f>Table1[[#This Row],[QUANTITY]]*Table1[[#This Row],[PURCHASE PRICE]]</f>
        <v>1680</v>
      </c>
      <c r="G94" s="8">
        <v>18.125</v>
      </c>
      <c r="H94" s="8">
        <f>Table1[[#This Row],[DEALING PRICE]]-Table1[[#This Row],[PURCHASE PRICE]]</f>
        <v>0.625</v>
      </c>
      <c r="I94" s="8">
        <f>Table1[[#This Row],[QUANTITY]]*Table1[[#This Row],[DEALING PRICE]]</f>
        <v>1740</v>
      </c>
      <c r="J94" s="8">
        <f>Table1[[#This Row],[GROSS AMOUNT]]*0.88</f>
        <v>1531.2</v>
      </c>
      <c r="K94" s="8">
        <f>Table1[[#This Row],[GROSS AMOUNT]]-Table1[[#This Row],[TOTAL PURCHASE]]</f>
        <v>60</v>
      </c>
    </row>
    <row r="95" spans="1:11" x14ac:dyDescent="0.25">
      <c r="A95" s="5">
        <v>45258</v>
      </c>
      <c r="B95" s="5" t="s">
        <v>62</v>
      </c>
      <c r="C95" s="6">
        <v>420</v>
      </c>
      <c r="D95" s="6" t="s">
        <v>63</v>
      </c>
      <c r="E95" s="8">
        <v>17.62</v>
      </c>
      <c r="F95" s="8">
        <f>Table1[[#This Row],[QUANTITY]]*Table1[[#This Row],[PURCHASE PRICE]]</f>
        <v>7400.4000000000005</v>
      </c>
      <c r="G95" s="8">
        <v>18.5</v>
      </c>
      <c r="H95" s="8">
        <f>Table1[[#This Row],[DEALING PRICE]]-Table1[[#This Row],[PURCHASE PRICE]]</f>
        <v>0.87999999999999901</v>
      </c>
      <c r="I95" s="8">
        <f>Table1[[#This Row],[QUANTITY]]*Table1[[#This Row],[DEALING PRICE]]</f>
        <v>7770</v>
      </c>
      <c r="J95" s="8">
        <f>Table1[[#This Row],[GROSS AMOUNT]]*0.88</f>
        <v>6837.6</v>
      </c>
      <c r="K95" s="8">
        <f>Table1[[#This Row],[GROSS AMOUNT]]-Table1[[#This Row],[TOTAL PURCHASE]]</f>
        <v>369.59999999999945</v>
      </c>
    </row>
    <row r="96" spans="1:11" x14ac:dyDescent="0.25">
      <c r="A96" s="5">
        <v>45258</v>
      </c>
      <c r="B96" s="5" t="s">
        <v>62</v>
      </c>
      <c r="C96" s="6">
        <v>72</v>
      </c>
      <c r="D96" s="6" t="s">
        <v>64</v>
      </c>
      <c r="E96" s="8">
        <v>16.670000000000002</v>
      </c>
      <c r="F96" s="8">
        <f>Table1[[#This Row],[QUANTITY]]*Table1[[#This Row],[PURCHASE PRICE]]</f>
        <v>1200.2400000000002</v>
      </c>
      <c r="G96" s="8">
        <v>17.5</v>
      </c>
      <c r="H96" s="8">
        <f>Table1[[#This Row],[DEALING PRICE]]-Table1[[#This Row],[PURCHASE PRICE]]</f>
        <v>0.82999999999999829</v>
      </c>
      <c r="I96" s="8">
        <f>Table1[[#This Row],[QUANTITY]]*Table1[[#This Row],[DEALING PRICE]]</f>
        <v>1260</v>
      </c>
      <c r="J96" s="8">
        <f>Table1[[#This Row],[GROSS AMOUNT]]*0.88</f>
        <v>1108.8</v>
      </c>
      <c r="K96" s="8">
        <f>Table1[[#This Row],[GROSS AMOUNT]]-Table1[[#This Row],[TOTAL PURCHASE]]</f>
        <v>59.759999999999764</v>
      </c>
    </row>
    <row r="97" spans="1:11" x14ac:dyDescent="0.25">
      <c r="A97" s="5">
        <v>45258</v>
      </c>
      <c r="B97" s="5" t="s">
        <v>62</v>
      </c>
      <c r="C97" s="6">
        <v>72</v>
      </c>
      <c r="D97" s="6" t="s">
        <v>65</v>
      </c>
      <c r="E97" s="8">
        <v>14.53</v>
      </c>
      <c r="F97" s="8">
        <f>Table1[[#This Row],[QUANTITY]]*Table1[[#This Row],[PURCHASE PRICE]]</f>
        <v>1046.1599999999999</v>
      </c>
      <c r="G97" s="8">
        <v>16</v>
      </c>
      <c r="H97" s="8">
        <f>Table1[[#This Row],[DEALING PRICE]]-Table1[[#This Row],[PURCHASE PRICE]]</f>
        <v>1.4700000000000006</v>
      </c>
      <c r="I97" s="8">
        <f>Table1[[#This Row],[QUANTITY]]*Table1[[#This Row],[DEALING PRICE]]</f>
        <v>1152</v>
      </c>
      <c r="J97" s="8">
        <f>Table1[[#This Row],[GROSS AMOUNT]]*0.88</f>
        <v>1013.76</v>
      </c>
      <c r="K97" s="8">
        <f>Table1[[#This Row],[GROSS AMOUNT]]-Table1[[#This Row],[TOTAL PURCHASE]]</f>
        <v>105.84000000000015</v>
      </c>
    </row>
    <row r="98" spans="1:11" x14ac:dyDescent="0.25">
      <c r="A98" s="5">
        <v>45258</v>
      </c>
      <c r="B98" s="5" t="s">
        <v>62</v>
      </c>
      <c r="C98" s="6">
        <v>12</v>
      </c>
      <c r="D98" s="6" t="s">
        <v>66</v>
      </c>
      <c r="E98" s="8">
        <v>53.81</v>
      </c>
      <c r="F98" s="8">
        <f>Table1[[#This Row],[QUANTITY]]*Table1[[#This Row],[PURCHASE PRICE]]</f>
        <v>645.72</v>
      </c>
      <c r="G98" s="8">
        <v>56</v>
      </c>
      <c r="H98" s="8">
        <f>Table1[[#This Row],[DEALING PRICE]]-Table1[[#This Row],[PURCHASE PRICE]]</f>
        <v>2.1899999999999977</v>
      </c>
      <c r="I98" s="8">
        <f>Table1[[#This Row],[QUANTITY]]*Table1[[#This Row],[DEALING PRICE]]</f>
        <v>672</v>
      </c>
      <c r="J98" s="8">
        <f>Table1[[#This Row],[GROSS AMOUNT]]*0.88</f>
        <v>591.36</v>
      </c>
      <c r="K98" s="8">
        <f>Table1[[#This Row],[GROSS AMOUNT]]-Table1[[#This Row],[TOTAL PURCHASE]]</f>
        <v>26.279999999999973</v>
      </c>
    </row>
    <row r="99" spans="1:11" x14ac:dyDescent="0.25">
      <c r="A99" s="5">
        <v>45258</v>
      </c>
      <c r="B99" s="5" t="s">
        <v>62</v>
      </c>
      <c r="C99" s="6">
        <v>8</v>
      </c>
      <c r="D99" s="6" t="s">
        <v>67</v>
      </c>
      <c r="E99" s="8">
        <v>15.72</v>
      </c>
      <c r="F99" s="8">
        <f>Table1[[#This Row],[QUANTITY]]*Table1[[#This Row],[PURCHASE PRICE]]</f>
        <v>125.76</v>
      </c>
      <c r="G99" s="8">
        <v>17</v>
      </c>
      <c r="H99" s="8">
        <f>Table1[[#This Row],[DEALING PRICE]]-Table1[[#This Row],[PURCHASE PRICE]]</f>
        <v>1.2799999999999994</v>
      </c>
      <c r="I99" s="8">
        <f>Table1[[#This Row],[QUANTITY]]*Table1[[#This Row],[DEALING PRICE]]</f>
        <v>136</v>
      </c>
      <c r="J99" s="8">
        <f>Table1[[#This Row],[GROSS AMOUNT]]*0.88</f>
        <v>119.68</v>
      </c>
      <c r="K99" s="8">
        <f>Table1[[#This Row],[GROSS AMOUNT]]-Table1[[#This Row],[TOTAL PURCHASE]]</f>
        <v>10.239999999999995</v>
      </c>
    </row>
    <row r="100" spans="1:11" x14ac:dyDescent="0.25">
      <c r="A100" s="5">
        <v>45258</v>
      </c>
      <c r="B100" s="5" t="s">
        <v>62</v>
      </c>
      <c r="C100" s="6">
        <v>6</v>
      </c>
      <c r="D100" s="6" t="s">
        <v>68</v>
      </c>
      <c r="E100" s="8">
        <v>67.73</v>
      </c>
      <c r="F100" s="8">
        <f>Table1[[#This Row],[QUANTITY]]*Table1[[#This Row],[PURCHASE PRICE]]</f>
        <v>406.38</v>
      </c>
      <c r="G100" s="8">
        <v>70</v>
      </c>
      <c r="H100" s="8">
        <f>Table1[[#This Row],[DEALING PRICE]]-Table1[[#This Row],[PURCHASE PRICE]]</f>
        <v>2.269999999999996</v>
      </c>
      <c r="I100" s="8">
        <f>Table1[[#This Row],[QUANTITY]]*Table1[[#This Row],[DEALING PRICE]]</f>
        <v>420</v>
      </c>
      <c r="J100" s="8">
        <f>Table1[[#This Row],[GROSS AMOUNT]]*0.88</f>
        <v>369.6</v>
      </c>
      <c r="K100" s="8">
        <f>Table1[[#This Row],[GROSS AMOUNT]]-Table1[[#This Row],[TOTAL PURCHASE]]</f>
        <v>13.620000000000005</v>
      </c>
    </row>
    <row r="101" spans="1:11" x14ac:dyDescent="0.25">
      <c r="A101" s="5">
        <v>45258</v>
      </c>
      <c r="B101" s="5" t="s">
        <v>62</v>
      </c>
      <c r="C101" s="6">
        <v>6</v>
      </c>
      <c r="D101" s="6" t="s">
        <v>69</v>
      </c>
      <c r="E101" s="8">
        <v>67.28</v>
      </c>
      <c r="F101" s="8">
        <f>Table1[[#This Row],[QUANTITY]]*Table1[[#This Row],[PURCHASE PRICE]]</f>
        <v>403.68</v>
      </c>
      <c r="G101" s="8">
        <v>70</v>
      </c>
      <c r="H101" s="8">
        <f>Table1[[#This Row],[DEALING PRICE]]-Table1[[#This Row],[PURCHASE PRICE]]</f>
        <v>2.7199999999999989</v>
      </c>
      <c r="I101" s="8">
        <f>Table1[[#This Row],[QUANTITY]]*Table1[[#This Row],[DEALING PRICE]]</f>
        <v>420</v>
      </c>
      <c r="J101" s="8">
        <f>Table1[[#This Row],[GROSS AMOUNT]]*0.88</f>
        <v>369.6</v>
      </c>
      <c r="K101" s="8">
        <f>Table1[[#This Row],[GROSS AMOUNT]]-Table1[[#This Row],[TOTAL PURCHASE]]</f>
        <v>16.319999999999993</v>
      </c>
    </row>
    <row r="102" spans="1:11" x14ac:dyDescent="0.25">
      <c r="A102" s="5">
        <v>45255</v>
      </c>
      <c r="B102" s="5" t="s">
        <v>70</v>
      </c>
      <c r="C102" s="6">
        <v>96</v>
      </c>
      <c r="D102" s="6" t="s">
        <v>71</v>
      </c>
      <c r="E102" s="8">
        <v>21.25</v>
      </c>
      <c r="F102" s="8">
        <f>Table1[[#This Row],[QUANTITY]]*Table1[[#This Row],[PURCHASE PRICE]]</f>
        <v>2040</v>
      </c>
      <c r="G102" s="8">
        <v>23</v>
      </c>
      <c r="H102" s="8">
        <f>Table1[[#This Row],[DEALING PRICE]]-Table1[[#This Row],[PURCHASE PRICE]]</f>
        <v>1.75</v>
      </c>
      <c r="I102" s="8">
        <f>Table1[[#This Row],[QUANTITY]]*Table1[[#This Row],[DEALING PRICE]]</f>
        <v>2208</v>
      </c>
      <c r="J102" s="8">
        <f>Table1[[#This Row],[GROSS AMOUNT]]*0.88</f>
        <v>1943.04</v>
      </c>
      <c r="K102" s="8">
        <f>Table1[[#This Row],[GROSS AMOUNT]]-Table1[[#This Row],[TOTAL PURCHASE]]</f>
        <v>168</v>
      </c>
    </row>
    <row r="103" spans="1:11" x14ac:dyDescent="0.25">
      <c r="A103" s="5">
        <v>45255</v>
      </c>
      <c r="B103" s="5" t="s">
        <v>70</v>
      </c>
      <c r="C103" s="6">
        <v>40</v>
      </c>
      <c r="D103" s="6" t="s">
        <v>72</v>
      </c>
      <c r="E103" s="8">
        <v>105</v>
      </c>
      <c r="F103" s="8">
        <f>Table1[[#This Row],[QUANTITY]]*Table1[[#This Row],[PURCHASE PRICE]]</f>
        <v>4200</v>
      </c>
      <c r="G103" s="8">
        <v>110</v>
      </c>
      <c r="H103" s="8">
        <f>Table1[[#This Row],[DEALING PRICE]]-Table1[[#This Row],[PURCHASE PRICE]]</f>
        <v>5</v>
      </c>
      <c r="I103" s="8">
        <f>Table1[[#This Row],[QUANTITY]]*Table1[[#This Row],[DEALING PRICE]]</f>
        <v>4400</v>
      </c>
      <c r="J103" s="8">
        <f>Table1[[#This Row],[GROSS AMOUNT]]*0.88</f>
        <v>3872</v>
      </c>
      <c r="K103" s="8">
        <f>Table1[[#This Row],[GROSS AMOUNT]]-Table1[[#This Row],[TOTAL PURCHASE]]</f>
        <v>200</v>
      </c>
    </row>
    <row r="104" spans="1:11" x14ac:dyDescent="0.25">
      <c r="A104" s="5">
        <v>45255</v>
      </c>
      <c r="B104" s="5" t="s">
        <v>70</v>
      </c>
      <c r="C104" s="6">
        <v>24</v>
      </c>
      <c r="D104" s="6" t="s">
        <v>73</v>
      </c>
      <c r="E104" s="8">
        <v>70.416600000000003</v>
      </c>
      <c r="F104" s="8">
        <f>Table1[[#This Row],[QUANTITY]]*Table1[[#This Row],[PURCHASE PRICE]]</f>
        <v>1689.9983999999999</v>
      </c>
      <c r="G104" s="8">
        <v>75</v>
      </c>
      <c r="H104" s="8">
        <f>Table1[[#This Row],[DEALING PRICE]]-Table1[[#This Row],[PURCHASE PRICE]]</f>
        <v>4.5833999999999975</v>
      </c>
      <c r="I104" s="8">
        <f>Table1[[#This Row],[QUANTITY]]*Table1[[#This Row],[DEALING PRICE]]</f>
        <v>1800</v>
      </c>
      <c r="J104" s="8">
        <f>Table1[[#This Row],[GROSS AMOUNT]]*0.88</f>
        <v>1584</v>
      </c>
      <c r="K104" s="8">
        <f>Table1[[#This Row],[GROSS AMOUNT]]-Table1[[#This Row],[TOTAL PURCHASE]]</f>
        <v>110.00160000000005</v>
      </c>
    </row>
    <row r="105" spans="1:11" x14ac:dyDescent="0.25">
      <c r="A105" s="5">
        <v>45255</v>
      </c>
      <c r="B105" s="5" t="s">
        <v>70</v>
      </c>
      <c r="C105" s="6">
        <v>50</v>
      </c>
      <c r="D105" s="6" t="s">
        <v>74</v>
      </c>
      <c r="E105" s="8">
        <v>53</v>
      </c>
      <c r="F105" s="8">
        <f>Table1[[#This Row],[QUANTITY]]*Table1[[#This Row],[PURCHASE PRICE]]</f>
        <v>2650</v>
      </c>
      <c r="G105" s="8">
        <v>56</v>
      </c>
      <c r="H105" s="8">
        <f>Table1[[#This Row],[DEALING PRICE]]-Table1[[#This Row],[PURCHASE PRICE]]</f>
        <v>3</v>
      </c>
      <c r="I105" s="8">
        <f>Table1[[#This Row],[QUANTITY]]*Table1[[#This Row],[DEALING PRICE]]</f>
        <v>2800</v>
      </c>
      <c r="J105" s="8">
        <f>Table1[[#This Row],[GROSS AMOUNT]]*0.88</f>
        <v>2464</v>
      </c>
      <c r="K105" s="8">
        <f>Table1[[#This Row],[GROSS AMOUNT]]-Table1[[#This Row],[TOTAL PURCHASE]]</f>
        <v>150</v>
      </c>
    </row>
    <row r="106" spans="1:11" x14ac:dyDescent="0.25">
      <c r="A106" s="5">
        <v>45255</v>
      </c>
      <c r="B106" s="5" t="s">
        <v>70</v>
      </c>
      <c r="C106" s="6">
        <v>40</v>
      </c>
      <c r="D106" s="6" t="s">
        <v>75</v>
      </c>
      <c r="E106" s="8">
        <v>35</v>
      </c>
      <c r="F106" s="8">
        <f>Table1[[#This Row],[QUANTITY]]*Table1[[#This Row],[PURCHASE PRICE]]</f>
        <v>1400</v>
      </c>
      <c r="G106" s="8">
        <v>40</v>
      </c>
      <c r="H106" s="8">
        <f>Table1[[#This Row],[DEALING PRICE]]-Table1[[#This Row],[PURCHASE PRICE]]</f>
        <v>5</v>
      </c>
      <c r="I106" s="8">
        <f>Table1[[#This Row],[QUANTITY]]*Table1[[#This Row],[DEALING PRICE]]</f>
        <v>1600</v>
      </c>
      <c r="J106" s="8">
        <f>Table1[[#This Row],[GROSS AMOUNT]]*0.88</f>
        <v>1408</v>
      </c>
      <c r="K106" s="8">
        <f>Table1[[#This Row],[GROSS AMOUNT]]-Table1[[#This Row],[TOTAL PURCHASE]]</f>
        <v>200</v>
      </c>
    </row>
    <row r="107" spans="1:11" x14ac:dyDescent="0.25">
      <c r="A107" s="5">
        <v>45255</v>
      </c>
      <c r="B107" s="5" t="s">
        <v>70</v>
      </c>
      <c r="C107" s="6">
        <v>36</v>
      </c>
      <c r="D107" s="6" t="s">
        <v>76</v>
      </c>
      <c r="E107" s="8">
        <v>65.277699999999996</v>
      </c>
      <c r="F107" s="8">
        <f>Table1[[#This Row],[QUANTITY]]*Table1[[#This Row],[PURCHASE PRICE]]</f>
        <v>2349.9971999999998</v>
      </c>
      <c r="G107" s="8">
        <v>68</v>
      </c>
      <c r="H107" s="8">
        <f>Table1[[#This Row],[DEALING PRICE]]-Table1[[#This Row],[PURCHASE PRICE]]</f>
        <v>2.7223000000000042</v>
      </c>
      <c r="I107" s="8">
        <f>Table1[[#This Row],[QUANTITY]]*Table1[[#This Row],[DEALING PRICE]]</f>
        <v>2448</v>
      </c>
      <c r="J107" s="8">
        <f>Table1[[#This Row],[GROSS AMOUNT]]*0.88</f>
        <v>2154.2400000000002</v>
      </c>
      <c r="K107" s="8">
        <f>Table1[[#This Row],[GROSS AMOUNT]]-Table1[[#This Row],[TOTAL PURCHASE]]</f>
        <v>98.002800000000207</v>
      </c>
    </row>
    <row r="108" spans="1:11" x14ac:dyDescent="0.25">
      <c r="A108" s="5">
        <v>45255</v>
      </c>
      <c r="B108" s="5" t="s">
        <v>70</v>
      </c>
      <c r="C108" s="6">
        <v>40</v>
      </c>
      <c r="D108" s="6" t="s">
        <v>77</v>
      </c>
      <c r="E108" s="8">
        <v>54</v>
      </c>
      <c r="F108" s="8">
        <f>Table1[[#This Row],[QUANTITY]]*Table1[[#This Row],[PURCHASE PRICE]]</f>
        <v>2160</v>
      </c>
      <c r="G108" s="8">
        <v>56</v>
      </c>
      <c r="H108" s="8">
        <f>Table1[[#This Row],[DEALING PRICE]]-Table1[[#This Row],[PURCHASE PRICE]]</f>
        <v>2</v>
      </c>
      <c r="I108" s="8">
        <f>Table1[[#This Row],[QUANTITY]]*Table1[[#This Row],[DEALING PRICE]]</f>
        <v>2240</v>
      </c>
      <c r="J108" s="8">
        <f>Table1[[#This Row],[GROSS AMOUNT]]*0.88</f>
        <v>1971.2</v>
      </c>
      <c r="K108" s="8">
        <f>Table1[[#This Row],[GROSS AMOUNT]]-Table1[[#This Row],[TOTAL PURCHASE]]</f>
        <v>80</v>
      </c>
    </row>
    <row r="109" spans="1:11" x14ac:dyDescent="0.25">
      <c r="A109" s="5">
        <v>45255</v>
      </c>
      <c r="B109" s="5" t="s">
        <v>70</v>
      </c>
      <c r="C109" s="6">
        <v>20</v>
      </c>
      <c r="D109" s="6" t="s">
        <v>78</v>
      </c>
      <c r="E109" s="8">
        <v>54</v>
      </c>
      <c r="F109" s="8">
        <f>Table1[[#This Row],[QUANTITY]]*Table1[[#This Row],[PURCHASE PRICE]]</f>
        <v>1080</v>
      </c>
      <c r="G109" s="8">
        <v>56</v>
      </c>
      <c r="H109" s="8">
        <f>Table1[[#This Row],[DEALING PRICE]]-Table1[[#This Row],[PURCHASE PRICE]]</f>
        <v>2</v>
      </c>
      <c r="I109" s="8">
        <f>Table1[[#This Row],[QUANTITY]]*Table1[[#This Row],[DEALING PRICE]]</f>
        <v>1120</v>
      </c>
      <c r="J109" s="8">
        <f>Table1[[#This Row],[GROSS AMOUNT]]*0.88</f>
        <v>985.6</v>
      </c>
      <c r="K109" s="8">
        <f>Table1[[#This Row],[GROSS AMOUNT]]-Table1[[#This Row],[TOTAL PURCHASE]]</f>
        <v>40</v>
      </c>
    </row>
    <row r="110" spans="1:11" x14ac:dyDescent="0.25">
      <c r="A110" s="5">
        <v>45255</v>
      </c>
      <c r="B110" s="5" t="s">
        <v>70</v>
      </c>
      <c r="C110" s="6">
        <v>40</v>
      </c>
      <c r="D110" s="6" t="s">
        <v>79</v>
      </c>
      <c r="E110" s="8">
        <v>54</v>
      </c>
      <c r="F110" s="8">
        <f>Table1[[#This Row],[QUANTITY]]*Table1[[#This Row],[PURCHASE PRICE]]</f>
        <v>2160</v>
      </c>
      <c r="G110" s="8">
        <v>56</v>
      </c>
      <c r="H110" s="8">
        <f>Table1[[#This Row],[DEALING PRICE]]-Table1[[#This Row],[PURCHASE PRICE]]</f>
        <v>2</v>
      </c>
      <c r="I110" s="8">
        <f>Table1[[#This Row],[QUANTITY]]*Table1[[#This Row],[DEALING PRICE]]</f>
        <v>2240</v>
      </c>
      <c r="J110" s="8">
        <f>Table1[[#This Row],[GROSS AMOUNT]]*0.88</f>
        <v>1971.2</v>
      </c>
      <c r="K110" s="8">
        <f>Table1[[#This Row],[GROSS AMOUNT]]-Table1[[#This Row],[TOTAL PURCHASE]]</f>
        <v>80</v>
      </c>
    </row>
    <row r="111" spans="1:11" x14ac:dyDescent="0.25">
      <c r="A111" s="5">
        <v>45245</v>
      </c>
      <c r="B111" s="5" t="s">
        <v>70</v>
      </c>
      <c r="C111" s="6">
        <v>96</v>
      </c>
      <c r="D111" s="6" t="s">
        <v>119</v>
      </c>
      <c r="E111" s="8">
        <v>112</v>
      </c>
      <c r="F111" s="8">
        <f>Table1[[#This Row],[QUANTITY]]*Table1[[#This Row],[PURCHASE PRICE]]</f>
        <v>10752</v>
      </c>
      <c r="G111" s="8">
        <v>114</v>
      </c>
      <c r="H111" s="8">
        <f>Table1[[#This Row],[DEALING PRICE]]-Table1[[#This Row],[PURCHASE PRICE]]</f>
        <v>2</v>
      </c>
      <c r="I111" s="8">
        <f>Table1[[#This Row],[QUANTITY]]*Table1[[#This Row],[DEALING PRICE]]</f>
        <v>10944</v>
      </c>
      <c r="J111" s="8">
        <f>Table1[[#This Row],[GROSS AMOUNT]]*0.88</f>
        <v>9630.7199999999993</v>
      </c>
      <c r="K111" s="8">
        <f>Table1[[#This Row],[GROSS AMOUNT]]-Table1[[#This Row],[TOTAL PURCHASE]]</f>
        <v>192</v>
      </c>
    </row>
    <row r="112" spans="1:11" x14ac:dyDescent="0.25">
      <c r="A112" s="5">
        <v>45245</v>
      </c>
      <c r="B112" s="5" t="s">
        <v>70</v>
      </c>
      <c r="C112" s="6">
        <v>36</v>
      </c>
      <c r="D112" s="6" t="s">
        <v>120</v>
      </c>
      <c r="E112" s="8">
        <v>118</v>
      </c>
      <c r="F112" s="8">
        <f>Table1[[#This Row],[QUANTITY]]*Table1[[#This Row],[PURCHASE PRICE]]</f>
        <v>4248</v>
      </c>
      <c r="G112" s="8">
        <v>120</v>
      </c>
      <c r="H112" s="8">
        <f>Table1[[#This Row],[DEALING PRICE]]-Table1[[#This Row],[PURCHASE PRICE]]</f>
        <v>2</v>
      </c>
      <c r="I112" s="8">
        <f>Table1[[#This Row],[QUANTITY]]*Table1[[#This Row],[DEALING PRICE]]</f>
        <v>4320</v>
      </c>
      <c r="J112" s="8">
        <f>Table1[[#This Row],[GROSS AMOUNT]]*0.88</f>
        <v>3801.6</v>
      </c>
      <c r="K112" s="8">
        <f>Table1[[#This Row],[GROSS AMOUNT]]-Table1[[#This Row],[TOTAL PURCHASE]]</f>
        <v>72</v>
      </c>
    </row>
    <row r="113" spans="1:11" x14ac:dyDescent="0.25">
      <c r="A113" s="5">
        <v>45245</v>
      </c>
      <c r="B113" s="5" t="s">
        <v>70</v>
      </c>
      <c r="C113" s="6">
        <v>36</v>
      </c>
      <c r="D113" s="6" t="s">
        <v>121</v>
      </c>
      <c r="E113" s="8">
        <v>112</v>
      </c>
      <c r="F113" s="8">
        <f>Table1[[#This Row],[QUANTITY]]*Table1[[#This Row],[PURCHASE PRICE]]</f>
        <v>4032</v>
      </c>
      <c r="G113" s="8">
        <v>114</v>
      </c>
      <c r="H113" s="8">
        <f>Table1[[#This Row],[DEALING PRICE]]-Table1[[#This Row],[PURCHASE PRICE]]</f>
        <v>2</v>
      </c>
      <c r="I113" s="8">
        <f>Table1[[#This Row],[QUANTITY]]*Table1[[#This Row],[DEALING PRICE]]</f>
        <v>4104</v>
      </c>
      <c r="J113" s="8">
        <f>Table1[[#This Row],[GROSS AMOUNT]]*0.88</f>
        <v>3611.52</v>
      </c>
      <c r="K113" s="8">
        <f>Table1[[#This Row],[GROSS AMOUNT]]-Table1[[#This Row],[TOTAL PURCHASE]]</f>
        <v>72</v>
      </c>
    </row>
    <row r="114" spans="1:11" x14ac:dyDescent="0.25">
      <c r="A114" s="5">
        <v>45245</v>
      </c>
      <c r="B114" s="5" t="s">
        <v>70</v>
      </c>
      <c r="C114" s="6">
        <v>400</v>
      </c>
      <c r="D114" s="6" t="s">
        <v>122</v>
      </c>
      <c r="E114" s="8">
        <v>21.1</v>
      </c>
      <c r="F114" s="8">
        <f>Table1[[#This Row],[QUANTITY]]*Table1[[#This Row],[PURCHASE PRICE]]</f>
        <v>8440</v>
      </c>
      <c r="G114" s="8">
        <v>23</v>
      </c>
      <c r="H114" s="8">
        <f>Table1[[#This Row],[DEALING PRICE]]-Table1[[#This Row],[PURCHASE PRICE]]</f>
        <v>1.8999999999999986</v>
      </c>
      <c r="I114" s="8">
        <f>Table1[[#This Row],[QUANTITY]]*Table1[[#This Row],[DEALING PRICE]]</f>
        <v>9200</v>
      </c>
      <c r="J114" s="8">
        <f>Table1[[#This Row],[GROSS AMOUNT]]*0.88</f>
        <v>8096</v>
      </c>
      <c r="K114" s="8">
        <f>Table1[[#This Row],[GROSS AMOUNT]]-Table1[[#This Row],[TOTAL PURCHASE]]</f>
        <v>760</v>
      </c>
    </row>
    <row r="115" spans="1:11" x14ac:dyDescent="0.25">
      <c r="A115" s="5">
        <v>45245</v>
      </c>
      <c r="B115" s="5" t="s">
        <v>70</v>
      </c>
      <c r="C115" s="6">
        <v>720</v>
      </c>
      <c r="D115" s="6" t="s">
        <v>123</v>
      </c>
      <c r="E115" s="8">
        <v>8.5</v>
      </c>
      <c r="F115" s="8">
        <f>Table1[[#This Row],[QUANTITY]]*Table1[[#This Row],[PURCHASE PRICE]]</f>
        <v>6120</v>
      </c>
      <c r="G115" s="8">
        <v>9</v>
      </c>
      <c r="H115" s="8">
        <f>Table1[[#This Row],[DEALING PRICE]]-Table1[[#This Row],[PURCHASE PRICE]]</f>
        <v>0.5</v>
      </c>
      <c r="I115" s="8">
        <f>Table1[[#This Row],[QUANTITY]]*Table1[[#This Row],[DEALING PRICE]]</f>
        <v>6480</v>
      </c>
      <c r="J115" s="8">
        <f>Table1[[#This Row],[GROSS AMOUNT]]*0.88</f>
        <v>5702.4</v>
      </c>
      <c r="K115" s="8">
        <f>Table1[[#This Row],[GROSS AMOUNT]]-Table1[[#This Row],[TOTAL PURCHASE]]</f>
        <v>360</v>
      </c>
    </row>
    <row r="116" spans="1:11" x14ac:dyDescent="0.25">
      <c r="A116" s="5">
        <v>45245</v>
      </c>
      <c r="B116" s="5" t="s">
        <v>70</v>
      </c>
      <c r="C116" s="6">
        <v>360</v>
      </c>
      <c r="D116" s="6" t="s">
        <v>124</v>
      </c>
      <c r="E116" s="8">
        <v>8.5</v>
      </c>
      <c r="F116" s="8">
        <f>Table1[[#This Row],[QUANTITY]]*Table1[[#This Row],[PURCHASE PRICE]]</f>
        <v>3060</v>
      </c>
      <c r="G116" s="8">
        <v>9</v>
      </c>
      <c r="H116" s="8">
        <f>Table1[[#This Row],[DEALING PRICE]]-Table1[[#This Row],[PURCHASE PRICE]]</f>
        <v>0.5</v>
      </c>
      <c r="I116" s="8">
        <f>Table1[[#This Row],[QUANTITY]]*Table1[[#This Row],[DEALING PRICE]]</f>
        <v>3240</v>
      </c>
      <c r="J116" s="8">
        <f>Table1[[#This Row],[GROSS AMOUNT]]*0.88</f>
        <v>2851.2</v>
      </c>
      <c r="K116" s="8">
        <f>Table1[[#This Row],[GROSS AMOUNT]]-Table1[[#This Row],[TOTAL PURCHASE]]</f>
        <v>180</v>
      </c>
    </row>
    <row r="117" spans="1:11" x14ac:dyDescent="0.25">
      <c r="A117" s="5">
        <v>45245</v>
      </c>
      <c r="B117" s="5" t="s">
        <v>70</v>
      </c>
      <c r="C117" s="6">
        <v>30</v>
      </c>
      <c r="D117" s="6" t="s">
        <v>125</v>
      </c>
      <c r="E117" s="8">
        <v>1360</v>
      </c>
      <c r="F117" s="8">
        <f>Table1[[#This Row],[QUANTITY]]*Table1[[#This Row],[PURCHASE PRICE]]</f>
        <v>40800</v>
      </c>
      <c r="G117" s="8">
        <v>1390</v>
      </c>
      <c r="H117" s="8">
        <f>Table1[[#This Row],[DEALING PRICE]]-Table1[[#This Row],[PURCHASE PRICE]]</f>
        <v>30</v>
      </c>
      <c r="I117" s="8">
        <f>Table1[[#This Row],[QUANTITY]]*Table1[[#This Row],[DEALING PRICE]]</f>
        <v>41700</v>
      </c>
      <c r="J117" s="8">
        <f>Table1[[#This Row],[GROSS AMOUNT]]*0.88</f>
        <v>36696</v>
      </c>
      <c r="K117" s="8">
        <f>Table1[[#This Row],[GROSS AMOUNT]]-Table1[[#This Row],[TOTAL PURCHASE]]</f>
        <v>900</v>
      </c>
    </row>
    <row r="118" spans="1:11" x14ac:dyDescent="0.25">
      <c r="A118" s="5">
        <v>45245</v>
      </c>
      <c r="B118" s="5" t="s">
        <v>70</v>
      </c>
      <c r="C118" s="6">
        <v>20</v>
      </c>
      <c r="D118" s="6" t="s">
        <v>126</v>
      </c>
      <c r="E118" s="8">
        <v>1240</v>
      </c>
      <c r="F118" s="8">
        <f>Table1[[#This Row],[QUANTITY]]*Table1[[#This Row],[PURCHASE PRICE]]</f>
        <v>24800</v>
      </c>
      <c r="G118" s="8">
        <v>1270</v>
      </c>
      <c r="H118" s="8">
        <f>Table1[[#This Row],[DEALING PRICE]]-Table1[[#This Row],[PURCHASE PRICE]]</f>
        <v>30</v>
      </c>
      <c r="I118" s="8">
        <f>Table1[[#This Row],[QUANTITY]]*Table1[[#This Row],[DEALING PRICE]]</f>
        <v>25400</v>
      </c>
      <c r="J118" s="8">
        <f>Table1[[#This Row],[GROSS AMOUNT]]*0.88</f>
        <v>22352</v>
      </c>
      <c r="K118" s="8">
        <f>Table1[[#This Row],[GROSS AMOUNT]]-Table1[[#This Row],[TOTAL PURCHASE]]</f>
        <v>600</v>
      </c>
    </row>
    <row r="119" spans="1:11" x14ac:dyDescent="0.25">
      <c r="A119" s="5">
        <v>45245</v>
      </c>
      <c r="B119" s="5" t="s">
        <v>70</v>
      </c>
      <c r="C119" s="6">
        <v>5</v>
      </c>
      <c r="D119" s="6" t="s">
        <v>127</v>
      </c>
      <c r="E119" s="8">
        <v>1564</v>
      </c>
      <c r="F119" s="8">
        <f>Table1[[#This Row],[QUANTITY]]*Table1[[#This Row],[PURCHASE PRICE]]</f>
        <v>7820</v>
      </c>
      <c r="G119" s="8">
        <v>1586</v>
      </c>
      <c r="H119" s="8">
        <f>Table1[[#This Row],[DEALING PRICE]]-Table1[[#This Row],[PURCHASE PRICE]]</f>
        <v>22</v>
      </c>
      <c r="I119" s="8">
        <f>Table1[[#This Row],[QUANTITY]]*Table1[[#This Row],[DEALING PRICE]]</f>
        <v>7930</v>
      </c>
      <c r="J119" s="8">
        <f>Table1[[#This Row],[GROSS AMOUNT]]*0.88</f>
        <v>6978.4</v>
      </c>
      <c r="K119" s="8">
        <f>Table1[[#This Row],[GROSS AMOUNT]]-Table1[[#This Row],[TOTAL PURCHASE]]</f>
        <v>110</v>
      </c>
    </row>
    <row r="120" spans="1:11" x14ac:dyDescent="0.25">
      <c r="A120" s="5">
        <v>45245</v>
      </c>
      <c r="B120" s="5" t="s">
        <v>70</v>
      </c>
      <c r="C120" s="6">
        <v>5</v>
      </c>
      <c r="D120" s="6" t="s">
        <v>128</v>
      </c>
      <c r="E120" s="8">
        <v>1480</v>
      </c>
      <c r="F120" s="8">
        <f>Table1[[#This Row],[QUANTITY]]*Table1[[#This Row],[PURCHASE PRICE]]</f>
        <v>7400</v>
      </c>
      <c r="G120" s="8">
        <v>1500</v>
      </c>
      <c r="H120" s="8">
        <f>Table1[[#This Row],[DEALING PRICE]]-Table1[[#This Row],[PURCHASE PRICE]]</f>
        <v>20</v>
      </c>
      <c r="I120" s="8">
        <f>Table1[[#This Row],[QUANTITY]]*Table1[[#This Row],[DEALING PRICE]]</f>
        <v>7500</v>
      </c>
      <c r="J120" s="8">
        <f>Table1[[#This Row],[GROSS AMOUNT]]*0.88</f>
        <v>6600</v>
      </c>
      <c r="K120" s="8">
        <f>Table1[[#This Row],[GROSS AMOUNT]]-Table1[[#This Row],[TOTAL PURCHASE]]</f>
        <v>100</v>
      </c>
    </row>
    <row r="121" spans="1:11" x14ac:dyDescent="0.25">
      <c r="A121" s="5">
        <v>45245</v>
      </c>
      <c r="B121" s="5" t="s">
        <v>70</v>
      </c>
      <c r="C121" s="6">
        <v>50</v>
      </c>
      <c r="D121" s="6" t="s">
        <v>139</v>
      </c>
      <c r="E121" s="8">
        <v>72</v>
      </c>
      <c r="F121" s="8">
        <f>Table1[[#This Row],[QUANTITY]]*Table1[[#This Row],[PURCHASE PRICE]]</f>
        <v>3600</v>
      </c>
      <c r="G121" s="8">
        <v>74</v>
      </c>
      <c r="H121" s="8">
        <f>Table1[[#This Row],[DEALING PRICE]]-Table1[[#This Row],[PURCHASE PRICE]]</f>
        <v>2</v>
      </c>
      <c r="I121" s="8">
        <f>Table1[[#This Row],[QUANTITY]]*Table1[[#This Row],[DEALING PRICE]]</f>
        <v>3700</v>
      </c>
      <c r="J121" s="8">
        <f>Table1[[#This Row],[GROSS AMOUNT]]*0.88</f>
        <v>3256</v>
      </c>
      <c r="K121" s="8">
        <f>Table1[[#This Row],[GROSS AMOUNT]]-Table1[[#This Row],[TOTAL PURCHASE]]</f>
        <v>100</v>
      </c>
    </row>
    <row r="122" spans="1:11" x14ac:dyDescent="0.25">
      <c r="A122" s="5">
        <v>45245</v>
      </c>
      <c r="B122" s="5" t="s">
        <v>70</v>
      </c>
      <c r="C122" s="6">
        <v>24</v>
      </c>
      <c r="D122" s="6" t="s">
        <v>129</v>
      </c>
      <c r="E122" s="8">
        <v>36.453299999999999</v>
      </c>
      <c r="F122" s="8">
        <f>Table1[[#This Row],[QUANTITY]]*Table1[[#This Row],[PURCHASE PRICE]]</f>
        <v>874.87919999999997</v>
      </c>
      <c r="G122" s="8">
        <v>39</v>
      </c>
      <c r="H122" s="8">
        <f>Table1[[#This Row],[DEALING PRICE]]-Table1[[#This Row],[PURCHASE PRICE]]</f>
        <v>2.5467000000000013</v>
      </c>
      <c r="I122" s="8">
        <f>Table1[[#This Row],[QUANTITY]]*Table1[[#This Row],[DEALING PRICE]]</f>
        <v>936</v>
      </c>
      <c r="J122" s="8">
        <f>Table1[[#This Row],[GROSS AMOUNT]]*0.88</f>
        <v>823.68</v>
      </c>
      <c r="K122" s="8">
        <f>Table1[[#This Row],[GROSS AMOUNT]]-Table1[[#This Row],[TOTAL PURCHASE]]</f>
        <v>61.120800000000031</v>
      </c>
    </row>
    <row r="123" spans="1:11" x14ac:dyDescent="0.25">
      <c r="A123" s="5">
        <v>45245</v>
      </c>
      <c r="B123" s="5" t="s">
        <v>70</v>
      </c>
      <c r="C123" s="6">
        <v>36</v>
      </c>
      <c r="D123" s="6" t="s">
        <v>130</v>
      </c>
      <c r="E123" s="8">
        <v>20.83333</v>
      </c>
      <c r="F123" s="8">
        <f>Table1[[#This Row],[QUANTITY]]*Table1[[#This Row],[PURCHASE PRICE]]</f>
        <v>749.99987999999996</v>
      </c>
      <c r="G123" s="8">
        <v>23</v>
      </c>
      <c r="H123" s="8">
        <f>Table1[[#This Row],[DEALING PRICE]]-Table1[[#This Row],[PURCHASE PRICE]]</f>
        <v>2.1666699999999999</v>
      </c>
      <c r="I123" s="8">
        <f>Table1[[#This Row],[QUANTITY]]*Table1[[#This Row],[DEALING PRICE]]</f>
        <v>828</v>
      </c>
      <c r="J123" s="8">
        <f>Table1[[#This Row],[GROSS AMOUNT]]*0.88</f>
        <v>728.64</v>
      </c>
      <c r="K123" s="8">
        <f>Table1[[#This Row],[GROSS AMOUNT]]-Table1[[#This Row],[TOTAL PURCHASE]]</f>
        <v>78.000120000000038</v>
      </c>
    </row>
    <row r="124" spans="1:11" x14ac:dyDescent="0.25">
      <c r="A124" s="5">
        <v>45245</v>
      </c>
      <c r="B124" s="5" t="s">
        <v>70</v>
      </c>
      <c r="C124" s="6">
        <v>48</v>
      </c>
      <c r="D124" s="6" t="s">
        <v>131</v>
      </c>
      <c r="E124" s="8">
        <v>13.95833</v>
      </c>
      <c r="F124" s="8">
        <f>Table1[[#This Row],[QUANTITY]]*Table1[[#This Row],[PURCHASE PRICE]]</f>
        <v>669.99983999999995</v>
      </c>
      <c r="G124" s="8">
        <v>15</v>
      </c>
      <c r="H124" s="8">
        <f>Table1[[#This Row],[DEALING PRICE]]-Table1[[#This Row],[PURCHASE PRICE]]</f>
        <v>1.0416699999999999</v>
      </c>
      <c r="I124" s="8">
        <f>Table1[[#This Row],[QUANTITY]]*Table1[[#This Row],[DEALING PRICE]]</f>
        <v>720</v>
      </c>
      <c r="J124" s="8">
        <f>Table1[[#This Row],[GROSS AMOUNT]]*0.88</f>
        <v>633.6</v>
      </c>
      <c r="K124" s="8">
        <f>Table1[[#This Row],[GROSS AMOUNT]]-Table1[[#This Row],[TOTAL PURCHASE]]</f>
        <v>50.000160000000051</v>
      </c>
    </row>
    <row r="125" spans="1:11" x14ac:dyDescent="0.25">
      <c r="A125" s="5">
        <v>45245</v>
      </c>
      <c r="B125" s="5" t="s">
        <v>70</v>
      </c>
      <c r="C125" s="6">
        <v>24</v>
      </c>
      <c r="D125" s="6" t="s">
        <v>138</v>
      </c>
      <c r="E125" s="8">
        <v>63.75</v>
      </c>
      <c r="F125" s="8">
        <f>Table1[[#This Row],[QUANTITY]]*Table1[[#This Row],[PURCHASE PRICE]]</f>
        <v>1530</v>
      </c>
      <c r="G125" s="8">
        <v>66</v>
      </c>
      <c r="H125" s="8">
        <f>Table1[[#This Row],[DEALING PRICE]]-Table1[[#This Row],[PURCHASE PRICE]]</f>
        <v>2.25</v>
      </c>
      <c r="I125" s="8">
        <f>Table1[[#This Row],[QUANTITY]]*Table1[[#This Row],[DEALING PRICE]]</f>
        <v>1584</v>
      </c>
      <c r="J125" s="8">
        <f>Table1[[#This Row],[GROSS AMOUNT]]*0.88</f>
        <v>1393.92</v>
      </c>
      <c r="K125" s="8">
        <f>Table1[[#This Row],[GROSS AMOUNT]]-Table1[[#This Row],[TOTAL PURCHASE]]</f>
        <v>54</v>
      </c>
    </row>
    <row r="126" spans="1:11" x14ac:dyDescent="0.25">
      <c r="A126" s="5">
        <v>45245</v>
      </c>
      <c r="B126" s="5" t="s">
        <v>70</v>
      </c>
      <c r="C126" s="6">
        <v>36</v>
      </c>
      <c r="D126" s="6" t="s">
        <v>132</v>
      </c>
      <c r="E126" s="8">
        <v>36.388800000000003</v>
      </c>
      <c r="F126" s="8">
        <f>Table1[[#This Row],[QUANTITY]]*Table1[[#This Row],[PURCHASE PRICE]]</f>
        <v>1309.9968000000001</v>
      </c>
      <c r="G126" s="8">
        <v>38</v>
      </c>
      <c r="H126" s="8">
        <f>Table1[[#This Row],[DEALING PRICE]]-Table1[[#This Row],[PURCHASE PRICE]]</f>
        <v>1.6111999999999966</v>
      </c>
      <c r="I126" s="8">
        <f>Table1[[#This Row],[QUANTITY]]*Table1[[#This Row],[DEALING PRICE]]</f>
        <v>1368</v>
      </c>
      <c r="J126" s="8">
        <f>Table1[[#This Row],[GROSS AMOUNT]]*0.88</f>
        <v>1203.8399999999999</v>
      </c>
      <c r="K126" s="8">
        <f>Table1[[#This Row],[GROSS AMOUNT]]-Table1[[#This Row],[TOTAL PURCHASE]]</f>
        <v>58.003199999999879</v>
      </c>
    </row>
    <row r="127" spans="1:11" x14ac:dyDescent="0.25">
      <c r="A127" s="5">
        <v>45245</v>
      </c>
      <c r="B127" s="5" t="s">
        <v>70</v>
      </c>
      <c r="C127" s="6">
        <v>48</v>
      </c>
      <c r="D127" s="6" t="s">
        <v>133</v>
      </c>
      <c r="E127" s="8">
        <v>23.333300000000001</v>
      </c>
      <c r="F127" s="8">
        <f>Table1[[#This Row],[QUANTITY]]*Table1[[#This Row],[PURCHASE PRICE]]</f>
        <v>1119.9983999999999</v>
      </c>
      <c r="G127" s="8">
        <v>25</v>
      </c>
      <c r="H127" s="8">
        <f>Table1[[#This Row],[DEALING PRICE]]-Table1[[#This Row],[PURCHASE PRICE]]</f>
        <v>1.6666999999999987</v>
      </c>
      <c r="I127" s="8">
        <f>Table1[[#This Row],[QUANTITY]]*Table1[[#This Row],[DEALING PRICE]]</f>
        <v>1200</v>
      </c>
      <c r="J127" s="8">
        <f>Table1[[#This Row],[GROSS AMOUNT]]*0.88</f>
        <v>1056</v>
      </c>
      <c r="K127" s="8">
        <f>Table1[[#This Row],[GROSS AMOUNT]]-Table1[[#This Row],[TOTAL PURCHASE]]</f>
        <v>80.001600000000053</v>
      </c>
    </row>
    <row r="128" spans="1:11" x14ac:dyDescent="0.25">
      <c r="A128" s="5">
        <v>45245</v>
      </c>
      <c r="B128" s="5" t="s">
        <v>70</v>
      </c>
      <c r="C128" s="6">
        <v>60</v>
      </c>
      <c r="D128" s="6" t="s">
        <v>134</v>
      </c>
      <c r="E128" s="8">
        <v>13.58333</v>
      </c>
      <c r="F128" s="8">
        <f>Table1[[#This Row],[QUANTITY]]*Table1[[#This Row],[PURCHASE PRICE]]</f>
        <v>814.99980000000005</v>
      </c>
      <c r="G128" s="8">
        <v>15</v>
      </c>
      <c r="H128" s="8">
        <f>Table1[[#This Row],[DEALING PRICE]]-Table1[[#This Row],[PURCHASE PRICE]]</f>
        <v>1.4166699999999999</v>
      </c>
      <c r="I128" s="8">
        <f>Table1[[#This Row],[QUANTITY]]*Table1[[#This Row],[DEALING PRICE]]</f>
        <v>900</v>
      </c>
      <c r="J128" s="8">
        <f>Table1[[#This Row],[GROSS AMOUNT]]*0.88</f>
        <v>792</v>
      </c>
      <c r="K128" s="8">
        <f>Table1[[#This Row],[GROSS AMOUNT]]-Table1[[#This Row],[TOTAL PURCHASE]]</f>
        <v>85.00019999999995</v>
      </c>
    </row>
    <row r="129" spans="1:11" x14ac:dyDescent="0.25">
      <c r="A129" s="5">
        <v>45245</v>
      </c>
      <c r="B129" s="5" t="s">
        <v>70</v>
      </c>
      <c r="C129" s="6">
        <v>100</v>
      </c>
      <c r="D129" s="6" t="s">
        <v>135</v>
      </c>
      <c r="E129" s="8">
        <v>23.1</v>
      </c>
      <c r="F129" s="8">
        <f>Table1[[#This Row],[QUANTITY]]*Table1[[#This Row],[PURCHASE PRICE]]</f>
        <v>2310</v>
      </c>
      <c r="G129" s="8">
        <v>24</v>
      </c>
      <c r="H129" s="8">
        <f>Table1[[#This Row],[DEALING PRICE]]-Table1[[#This Row],[PURCHASE PRICE]]</f>
        <v>0.89999999999999858</v>
      </c>
      <c r="I129" s="8">
        <f>Table1[[#This Row],[QUANTITY]]*Table1[[#This Row],[DEALING PRICE]]</f>
        <v>2400</v>
      </c>
      <c r="J129" s="8">
        <f>Table1[[#This Row],[GROSS AMOUNT]]*0.88</f>
        <v>2112</v>
      </c>
      <c r="K129" s="8">
        <f>Table1[[#This Row],[GROSS AMOUNT]]-Table1[[#This Row],[TOTAL PURCHASE]]</f>
        <v>90</v>
      </c>
    </row>
    <row r="130" spans="1:11" x14ac:dyDescent="0.25">
      <c r="A130" s="5">
        <v>45245</v>
      </c>
      <c r="B130" s="5" t="s">
        <v>70</v>
      </c>
      <c r="C130" s="6">
        <v>100</v>
      </c>
      <c r="D130" s="6" t="s">
        <v>136</v>
      </c>
      <c r="E130" s="8">
        <v>23.35</v>
      </c>
      <c r="F130" s="8">
        <f>Table1[[#This Row],[QUANTITY]]*Table1[[#This Row],[PURCHASE PRICE]]</f>
        <v>2335</v>
      </c>
      <c r="G130" s="8">
        <v>25</v>
      </c>
      <c r="H130" s="8">
        <f>Table1[[#This Row],[DEALING PRICE]]-Table1[[#This Row],[PURCHASE PRICE]]</f>
        <v>1.6499999999999986</v>
      </c>
      <c r="I130" s="8">
        <f>Table1[[#This Row],[QUANTITY]]*Table1[[#This Row],[DEALING PRICE]]</f>
        <v>2500</v>
      </c>
      <c r="J130" s="8">
        <f>Table1[[#This Row],[GROSS AMOUNT]]*0.88</f>
        <v>2200</v>
      </c>
      <c r="K130" s="8">
        <f>Table1[[#This Row],[GROSS AMOUNT]]-Table1[[#This Row],[TOTAL PURCHASE]]</f>
        <v>165</v>
      </c>
    </row>
    <row r="131" spans="1:11" x14ac:dyDescent="0.25">
      <c r="A131" s="5">
        <v>45245</v>
      </c>
      <c r="B131" s="5" t="s">
        <v>70</v>
      </c>
      <c r="C131" s="6">
        <v>20</v>
      </c>
      <c r="D131" s="6" t="s">
        <v>78</v>
      </c>
      <c r="E131" s="8">
        <v>54</v>
      </c>
      <c r="F131" s="8">
        <f>Table1[[#This Row],[QUANTITY]]*Table1[[#This Row],[PURCHASE PRICE]]</f>
        <v>1080</v>
      </c>
      <c r="G131" s="8">
        <v>56</v>
      </c>
      <c r="H131" s="8">
        <f>Table1[[#This Row],[DEALING PRICE]]-Table1[[#This Row],[PURCHASE PRICE]]</f>
        <v>2</v>
      </c>
      <c r="I131" s="8">
        <f>Table1[[#This Row],[QUANTITY]]*Table1[[#This Row],[DEALING PRICE]]</f>
        <v>1120</v>
      </c>
      <c r="J131" s="8">
        <f>Table1[[#This Row],[GROSS AMOUNT]]*0.88</f>
        <v>985.6</v>
      </c>
      <c r="K131" s="8">
        <f>Table1[[#This Row],[GROSS AMOUNT]]-Table1[[#This Row],[TOTAL PURCHASE]]</f>
        <v>40</v>
      </c>
    </row>
    <row r="132" spans="1:11" x14ac:dyDescent="0.25">
      <c r="A132" s="5">
        <v>45245</v>
      </c>
      <c r="B132" s="5" t="s">
        <v>70</v>
      </c>
      <c r="C132" s="6">
        <v>40</v>
      </c>
      <c r="D132" s="6" t="s">
        <v>77</v>
      </c>
      <c r="E132" s="8">
        <v>54</v>
      </c>
      <c r="F132" s="8">
        <f>Table1[[#This Row],[QUANTITY]]*Table1[[#This Row],[PURCHASE PRICE]]</f>
        <v>2160</v>
      </c>
      <c r="G132" s="8">
        <v>56</v>
      </c>
      <c r="H132" s="8">
        <f>Table1[[#This Row],[DEALING PRICE]]-Table1[[#This Row],[PURCHASE PRICE]]</f>
        <v>2</v>
      </c>
      <c r="I132" s="8">
        <f>Table1[[#This Row],[QUANTITY]]*Table1[[#This Row],[DEALING PRICE]]</f>
        <v>2240</v>
      </c>
      <c r="J132" s="8">
        <f>Table1[[#This Row],[GROSS AMOUNT]]*0.88</f>
        <v>1971.2</v>
      </c>
      <c r="K132" s="8">
        <f>Table1[[#This Row],[GROSS AMOUNT]]-Table1[[#This Row],[TOTAL PURCHASE]]</f>
        <v>80</v>
      </c>
    </row>
    <row r="133" spans="1:11" x14ac:dyDescent="0.25">
      <c r="A133" s="5">
        <v>45245</v>
      </c>
      <c r="B133" s="5" t="s">
        <v>70</v>
      </c>
      <c r="C133" s="6">
        <v>20</v>
      </c>
      <c r="D133" s="6" t="s">
        <v>137</v>
      </c>
      <c r="E133" s="8">
        <v>56</v>
      </c>
      <c r="F133" s="8">
        <f>Table1[[#This Row],[QUANTITY]]*Table1[[#This Row],[PURCHASE PRICE]]</f>
        <v>1120</v>
      </c>
      <c r="G133" s="8">
        <v>58</v>
      </c>
      <c r="H133" s="8">
        <f>Table1[[#This Row],[DEALING PRICE]]-Table1[[#This Row],[PURCHASE PRICE]]</f>
        <v>2</v>
      </c>
      <c r="I133" s="8">
        <f>Table1[[#This Row],[QUANTITY]]*Table1[[#This Row],[DEALING PRICE]]</f>
        <v>1160</v>
      </c>
      <c r="J133" s="8">
        <f>Table1[[#This Row],[GROSS AMOUNT]]*0.88</f>
        <v>1020.8</v>
      </c>
      <c r="K133" s="8">
        <f>Table1[[#This Row],[GROSS AMOUNT]]-Table1[[#This Row],[TOTAL PURCHASE]]</f>
        <v>40</v>
      </c>
    </row>
    <row r="134" spans="1:11" x14ac:dyDescent="0.25">
      <c r="A134" s="5">
        <v>45254</v>
      </c>
      <c r="B134" s="5" t="s">
        <v>28</v>
      </c>
      <c r="C134" s="6">
        <v>192</v>
      </c>
      <c r="D134" s="6" t="s">
        <v>29</v>
      </c>
      <c r="E134" s="8">
        <v>81.25</v>
      </c>
      <c r="F134" s="8">
        <f>Table1[[#This Row],[QUANTITY]]*Table1[[#This Row],[PURCHASE PRICE]]</f>
        <v>15600</v>
      </c>
      <c r="G134" s="8">
        <v>87</v>
      </c>
      <c r="H134" s="8">
        <f>Table1[[#This Row],[DEALING PRICE]]-Table1[[#This Row],[PURCHASE PRICE]]</f>
        <v>5.75</v>
      </c>
      <c r="I134" s="8">
        <f>Table1[[#This Row],[QUANTITY]]*Table1[[#This Row],[DEALING PRICE]]</f>
        <v>16704</v>
      </c>
      <c r="J134" s="8">
        <f>Table1[[#This Row],[GROSS AMOUNT]]*0.88</f>
        <v>14699.52</v>
      </c>
      <c r="K134" s="8">
        <f>Table1[[#This Row],[GROSS AMOUNT]]-Table1[[#This Row],[TOTAL PURCHASE]]</f>
        <v>1104</v>
      </c>
    </row>
    <row r="135" spans="1:11" x14ac:dyDescent="0.25">
      <c r="A135" s="5">
        <v>45254</v>
      </c>
      <c r="B135" s="5" t="s">
        <v>28</v>
      </c>
      <c r="C135" s="6">
        <v>24</v>
      </c>
      <c r="D135" s="6" t="s">
        <v>80</v>
      </c>
      <c r="E135" s="8">
        <v>84.08</v>
      </c>
      <c r="F135" s="8">
        <f>Table1[[#This Row],[QUANTITY]]*Table1[[#This Row],[PURCHASE PRICE]]</f>
        <v>2017.92</v>
      </c>
      <c r="G135" s="8">
        <v>88</v>
      </c>
      <c r="H135" s="8">
        <f>Table1[[#This Row],[DEALING PRICE]]-Table1[[#This Row],[PURCHASE PRICE]]</f>
        <v>3.9200000000000017</v>
      </c>
      <c r="I135" s="8">
        <f>Table1[[#This Row],[QUANTITY]]*Table1[[#This Row],[DEALING PRICE]]</f>
        <v>2112</v>
      </c>
      <c r="J135" s="8">
        <f>Table1[[#This Row],[GROSS AMOUNT]]*0.88</f>
        <v>1858.56</v>
      </c>
      <c r="K135" s="8">
        <f>Table1[[#This Row],[GROSS AMOUNT]]-Table1[[#This Row],[TOTAL PURCHASE]]</f>
        <v>94.079999999999927</v>
      </c>
    </row>
    <row r="136" spans="1:11" x14ac:dyDescent="0.25">
      <c r="A136" s="5">
        <v>45254</v>
      </c>
      <c r="B136" s="5" t="s">
        <v>28</v>
      </c>
      <c r="C136" s="6">
        <v>6</v>
      </c>
      <c r="D136" s="6" t="s">
        <v>81</v>
      </c>
      <c r="E136" s="8">
        <v>182.75</v>
      </c>
      <c r="F136" s="8">
        <f>Table1[[#This Row],[QUANTITY]]*Table1[[#This Row],[PURCHASE PRICE]]</f>
        <v>1096.5</v>
      </c>
      <c r="G136" s="8">
        <v>191</v>
      </c>
      <c r="H136" s="8">
        <f>Table1[[#This Row],[DEALING PRICE]]-Table1[[#This Row],[PURCHASE PRICE]]</f>
        <v>8.25</v>
      </c>
      <c r="I136" s="8">
        <f>Table1[[#This Row],[QUANTITY]]*Table1[[#This Row],[DEALING PRICE]]</f>
        <v>1146</v>
      </c>
      <c r="J136" s="8">
        <f>Table1[[#This Row],[GROSS AMOUNT]]*0.88</f>
        <v>1008.48</v>
      </c>
      <c r="K136" s="8">
        <f>Table1[[#This Row],[GROSS AMOUNT]]-Table1[[#This Row],[TOTAL PURCHASE]]</f>
        <v>49.5</v>
      </c>
    </row>
    <row r="137" spans="1:11" x14ac:dyDescent="0.25">
      <c r="A137" s="5">
        <v>45254</v>
      </c>
      <c r="B137" s="5" t="s">
        <v>82</v>
      </c>
      <c r="C137" s="6">
        <v>6</v>
      </c>
      <c r="D137" s="6" t="s">
        <v>83</v>
      </c>
      <c r="E137" s="8">
        <v>53.75</v>
      </c>
      <c r="F137" s="8">
        <f>Table1[[#This Row],[QUANTITY]]*Table1[[#This Row],[PURCHASE PRICE]]</f>
        <v>322.5</v>
      </c>
      <c r="G137" s="8">
        <v>55</v>
      </c>
      <c r="H137" s="8">
        <f>Table1[[#This Row],[DEALING PRICE]]-Table1[[#This Row],[PURCHASE PRICE]]</f>
        <v>1.25</v>
      </c>
      <c r="I137" s="8">
        <f>Table1[[#This Row],[QUANTITY]]*Table1[[#This Row],[DEALING PRICE]]</f>
        <v>330</v>
      </c>
      <c r="J137" s="8">
        <f>Table1[[#This Row],[GROSS AMOUNT]]*0.88</f>
        <v>290.39999999999998</v>
      </c>
      <c r="K137" s="8">
        <f>Table1[[#This Row],[GROSS AMOUNT]]-Table1[[#This Row],[TOTAL PURCHASE]]</f>
        <v>7.5</v>
      </c>
    </row>
    <row r="138" spans="1:11" x14ac:dyDescent="0.25">
      <c r="A138" s="5">
        <v>45254</v>
      </c>
      <c r="B138" s="5" t="s">
        <v>82</v>
      </c>
      <c r="C138" s="6">
        <v>6</v>
      </c>
      <c r="D138" s="6" t="s">
        <v>84</v>
      </c>
      <c r="E138" s="8">
        <v>70.83</v>
      </c>
      <c r="F138" s="8">
        <f>Table1[[#This Row],[QUANTITY]]*Table1[[#This Row],[PURCHASE PRICE]]</f>
        <v>424.98</v>
      </c>
      <c r="G138" s="8">
        <v>74</v>
      </c>
      <c r="H138" s="8">
        <f>Table1[[#This Row],[DEALING PRICE]]-Table1[[#This Row],[PURCHASE PRICE]]</f>
        <v>3.1700000000000017</v>
      </c>
      <c r="I138" s="8">
        <f>Table1[[#This Row],[QUANTITY]]*Table1[[#This Row],[DEALING PRICE]]</f>
        <v>444</v>
      </c>
      <c r="J138" s="8">
        <f>Table1[[#This Row],[GROSS AMOUNT]]*0.88</f>
        <v>390.72</v>
      </c>
      <c r="K138" s="8">
        <f>Table1[[#This Row],[GROSS AMOUNT]]-Table1[[#This Row],[TOTAL PURCHASE]]</f>
        <v>19.019999999999982</v>
      </c>
    </row>
    <row r="139" spans="1:11" x14ac:dyDescent="0.25">
      <c r="A139" s="5">
        <v>45254</v>
      </c>
      <c r="B139" s="5" t="s">
        <v>82</v>
      </c>
      <c r="C139" s="6">
        <v>18</v>
      </c>
      <c r="D139" s="6" t="s">
        <v>85</v>
      </c>
      <c r="E139" s="8">
        <v>72.42</v>
      </c>
      <c r="F139" s="8">
        <f>Table1[[#This Row],[QUANTITY]]*Table1[[#This Row],[PURCHASE PRICE]]</f>
        <v>1303.56</v>
      </c>
      <c r="G139" s="8">
        <v>75</v>
      </c>
      <c r="H139" s="8">
        <f>Table1[[#This Row],[DEALING PRICE]]-Table1[[#This Row],[PURCHASE PRICE]]</f>
        <v>2.5799999999999983</v>
      </c>
      <c r="I139" s="8">
        <f>Table1[[#This Row],[QUANTITY]]*Table1[[#This Row],[DEALING PRICE]]</f>
        <v>1350</v>
      </c>
      <c r="J139" s="8">
        <f>Table1[[#This Row],[GROSS AMOUNT]]*0.88</f>
        <v>1188</v>
      </c>
      <c r="K139" s="8">
        <f>Table1[[#This Row],[GROSS AMOUNT]]-Table1[[#This Row],[TOTAL PURCHASE]]</f>
        <v>46.440000000000055</v>
      </c>
    </row>
    <row r="140" spans="1:11" x14ac:dyDescent="0.25">
      <c r="A140" s="5">
        <v>45254</v>
      </c>
      <c r="B140" s="5" t="s">
        <v>82</v>
      </c>
      <c r="C140" s="6">
        <v>6</v>
      </c>
      <c r="D140" s="6" t="s">
        <v>86</v>
      </c>
      <c r="E140" s="8">
        <v>73.75</v>
      </c>
      <c r="F140" s="8">
        <f>Table1[[#This Row],[QUANTITY]]*Table1[[#This Row],[PURCHASE PRICE]]</f>
        <v>442.5</v>
      </c>
      <c r="G140" s="8">
        <v>76</v>
      </c>
      <c r="H140" s="8">
        <f>Table1[[#This Row],[DEALING PRICE]]-Table1[[#This Row],[PURCHASE PRICE]]</f>
        <v>2.25</v>
      </c>
      <c r="I140" s="8">
        <f>Table1[[#This Row],[QUANTITY]]*Table1[[#This Row],[DEALING PRICE]]</f>
        <v>456</v>
      </c>
      <c r="J140" s="8">
        <f>Table1[[#This Row],[GROSS AMOUNT]]*0.88</f>
        <v>401.28000000000003</v>
      </c>
      <c r="K140" s="8">
        <f>Table1[[#This Row],[GROSS AMOUNT]]-Table1[[#This Row],[TOTAL PURCHASE]]</f>
        <v>13.5</v>
      </c>
    </row>
    <row r="141" spans="1:11" x14ac:dyDescent="0.25">
      <c r="A141" s="5">
        <v>45253</v>
      </c>
      <c r="B141" s="5" t="s">
        <v>87</v>
      </c>
      <c r="C141" s="6">
        <v>24</v>
      </c>
      <c r="D141" s="6" t="s">
        <v>88</v>
      </c>
      <c r="E141" s="8">
        <v>14.6</v>
      </c>
      <c r="F141" s="8">
        <f>Table1[[#This Row],[QUANTITY]]*Table1[[#This Row],[PURCHASE PRICE]]</f>
        <v>350.4</v>
      </c>
      <c r="G141" s="8">
        <v>16</v>
      </c>
      <c r="H141" s="8">
        <f>Table1[[#This Row],[DEALING PRICE]]-Table1[[#This Row],[PURCHASE PRICE]]</f>
        <v>1.4000000000000004</v>
      </c>
      <c r="I141" s="8">
        <f>Table1[[#This Row],[QUANTITY]]*Table1[[#This Row],[DEALING PRICE]]</f>
        <v>384</v>
      </c>
      <c r="J141" s="8">
        <f>Table1[[#This Row],[GROSS AMOUNT]]*0.88</f>
        <v>337.92</v>
      </c>
      <c r="K141" s="8">
        <f>Table1[[#This Row],[GROSS AMOUNT]]-Table1[[#This Row],[TOTAL PURCHASE]]</f>
        <v>33.600000000000023</v>
      </c>
    </row>
    <row r="142" spans="1:11" x14ac:dyDescent="0.25">
      <c r="A142" s="5">
        <v>45252</v>
      </c>
      <c r="B142" s="5" t="s">
        <v>91</v>
      </c>
      <c r="C142" s="6">
        <v>200</v>
      </c>
      <c r="D142" s="6" t="s">
        <v>89</v>
      </c>
      <c r="E142" s="8">
        <v>69.066500000000005</v>
      </c>
      <c r="F142" s="8">
        <f>Table1[[#This Row],[QUANTITY]]*Table1[[#This Row],[PURCHASE PRICE]]</f>
        <v>13813.300000000001</v>
      </c>
      <c r="G142" s="8">
        <v>74</v>
      </c>
      <c r="H142" s="8">
        <f>Table1[[#This Row],[DEALING PRICE]]-Table1[[#This Row],[PURCHASE PRICE]]</f>
        <v>4.9334999999999951</v>
      </c>
      <c r="I142" s="8">
        <f>Table1[[#This Row],[QUANTITY]]*Table1[[#This Row],[DEALING PRICE]]</f>
        <v>14800</v>
      </c>
      <c r="J142" s="8">
        <f>Table1[[#This Row],[GROSS AMOUNT]]*0.88</f>
        <v>13024</v>
      </c>
      <c r="K142" s="8">
        <f>Table1[[#This Row],[GROSS AMOUNT]]-Table1[[#This Row],[TOTAL PURCHASE]]</f>
        <v>986.69999999999891</v>
      </c>
    </row>
    <row r="143" spans="1:11" x14ac:dyDescent="0.25">
      <c r="A143" s="5">
        <v>45252</v>
      </c>
      <c r="B143" s="5" t="s">
        <v>91</v>
      </c>
      <c r="C143" s="6">
        <v>20</v>
      </c>
      <c r="D143" s="6" t="s">
        <v>90</v>
      </c>
      <c r="E143" s="8">
        <v>74.475999999999999</v>
      </c>
      <c r="F143" s="8">
        <f>Table1[[#This Row],[QUANTITY]]*Table1[[#This Row],[PURCHASE PRICE]]</f>
        <v>1489.52</v>
      </c>
      <c r="G143" s="8">
        <v>75</v>
      </c>
      <c r="H143" s="8">
        <f>Table1[[#This Row],[DEALING PRICE]]-Table1[[#This Row],[PURCHASE PRICE]]</f>
        <v>0.52400000000000091</v>
      </c>
      <c r="I143" s="8">
        <f>Table1[[#This Row],[QUANTITY]]*Table1[[#This Row],[DEALING PRICE]]</f>
        <v>1500</v>
      </c>
      <c r="J143" s="8">
        <f>Table1[[#This Row],[GROSS AMOUNT]]*0.88</f>
        <v>1320</v>
      </c>
      <c r="K143" s="8">
        <f>Table1[[#This Row],[GROSS AMOUNT]]-Table1[[#This Row],[TOTAL PURCHASE]]</f>
        <v>10.480000000000018</v>
      </c>
    </row>
    <row r="144" spans="1:11" x14ac:dyDescent="0.25">
      <c r="A144" s="5">
        <v>45252</v>
      </c>
      <c r="B144" s="5" t="s">
        <v>91</v>
      </c>
      <c r="C144" s="6">
        <v>12</v>
      </c>
      <c r="D144" s="6" t="s">
        <v>92</v>
      </c>
      <c r="E144" s="8">
        <v>34.03</v>
      </c>
      <c r="F144" s="8">
        <f>Table1[[#This Row],[QUANTITY]]*Table1[[#This Row],[PURCHASE PRICE]]</f>
        <v>408.36</v>
      </c>
      <c r="G144" s="8">
        <v>36</v>
      </c>
      <c r="H144" s="8">
        <f>Table1[[#This Row],[DEALING PRICE]]-Table1[[#This Row],[PURCHASE PRICE]]</f>
        <v>1.9699999999999989</v>
      </c>
      <c r="I144" s="8">
        <f>Table1[[#This Row],[QUANTITY]]*Table1[[#This Row],[DEALING PRICE]]</f>
        <v>432</v>
      </c>
      <c r="J144" s="8">
        <f>Table1[[#This Row],[GROSS AMOUNT]]*0.88</f>
        <v>380.16</v>
      </c>
      <c r="K144" s="8">
        <f>Table1[[#This Row],[GROSS AMOUNT]]-Table1[[#This Row],[TOTAL PURCHASE]]</f>
        <v>23.639999999999986</v>
      </c>
    </row>
    <row r="145" spans="1:11" x14ac:dyDescent="0.25">
      <c r="A145" s="5">
        <v>45252</v>
      </c>
      <c r="B145" s="5" t="s">
        <v>91</v>
      </c>
      <c r="C145" s="6">
        <v>12</v>
      </c>
      <c r="D145" s="6" t="s">
        <v>93</v>
      </c>
      <c r="E145" s="8">
        <v>34.4</v>
      </c>
      <c r="F145" s="8">
        <f>Table1[[#This Row],[QUANTITY]]*Table1[[#This Row],[PURCHASE PRICE]]</f>
        <v>412.79999999999995</v>
      </c>
      <c r="G145" s="8">
        <v>36</v>
      </c>
      <c r="H145" s="8">
        <f>Table1[[#This Row],[DEALING PRICE]]-Table1[[#This Row],[PURCHASE PRICE]]</f>
        <v>1.6000000000000014</v>
      </c>
      <c r="I145" s="8">
        <f>Table1[[#This Row],[QUANTITY]]*Table1[[#This Row],[DEALING PRICE]]</f>
        <v>432</v>
      </c>
      <c r="J145" s="8">
        <f>Table1[[#This Row],[GROSS AMOUNT]]*0.88</f>
        <v>380.16</v>
      </c>
      <c r="K145" s="8">
        <f>Table1[[#This Row],[GROSS AMOUNT]]-Table1[[#This Row],[TOTAL PURCHASE]]</f>
        <v>19.200000000000045</v>
      </c>
    </row>
    <row r="146" spans="1:11" x14ac:dyDescent="0.25">
      <c r="A146" s="5">
        <v>45252</v>
      </c>
      <c r="B146" s="5" t="s">
        <v>91</v>
      </c>
      <c r="C146" s="6">
        <v>12</v>
      </c>
      <c r="D146" s="6" t="s">
        <v>94</v>
      </c>
      <c r="E146" s="8">
        <v>28.62</v>
      </c>
      <c r="F146" s="8">
        <f>Table1[[#This Row],[QUANTITY]]*Table1[[#This Row],[PURCHASE PRICE]]</f>
        <v>343.44</v>
      </c>
      <c r="G146" s="8">
        <v>30</v>
      </c>
      <c r="H146" s="8">
        <f>Table1[[#This Row],[DEALING PRICE]]-Table1[[#This Row],[PURCHASE PRICE]]</f>
        <v>1.379999999999999</v>
      </c>
      <c r="I146" s="8">
        <f>Table1[[#This Row],[QUANTITY]]*Table1[[#This Row],[DEALING PRICE]]</f>
        <v>360</v>
      </c>
      <c r="J146" s="8">
        <f>Table1[[#This Row],[GROSS AMOUNT]]*0.88</f>
        <v>316.8</v>
      </c>
      <c r="K146" s="8">
        <f>Table1[[#This Row],[GROSS AMOUNT]]-Table1[[#This Row],[TOTAL PURCHASE]]</f>
        <v>16.560000000000002</v>
      </c>
    </row>
    <row r="147" spans="1:11" x14ac:dyDescent="0.25">
      <c r="A147" s="5">
        <v>45252</v>
      </c>
      <c r="B147" s="5" t="s">
        <v>91</v>
      </c>
      <c r="C147" s="6">
        <v>12</v>
      </c>
      <c r="D147" s="6" t="s">
        <v>95</v>
      </c>
      <c r="E147" s="8">
        <v>28.94</v>
      </c>
      <c r="F147" s="8">
        <f>Table1[[#This Row],[QUANTITY]]*Table1[[#This Row],[PURCHASE PRICE]]</f>
        <v>347.28000000000003</v>
      </c>
      <c r="G147" s="8">
        <v>30</v>
      </c>
      <c r="H147" s="8">
        <f>Table1[[#This Row],[DEALING PRICE]]-Table1[[#This Row],[PURCHASE PRICE]]</f>
        <v>1.0599999999999987</v>
      </c>
      <c r="I147" s="8">
        <f>Table1[[#This Row],[QUANTITY]]*Table1[[#This Row],[DEALING PRICE]]</f>
        <v>360</v>
      </c>
      <c r="J147" s="8">
        <f>Table1[[#This Row],[GROSS AMOUNT]]*0.88</f>
        <v>316.8</v>
      </c>
      <c r="K147" s="8">
        <f>Table1[[#This Row],[GROSS AMOUNT]]-Table1[[#This Row],[TOTAL PURCHASE]]</f>
        <v>12.71999999999997</v>
      </c>
    </row>
    <row r="148" spans="1:11" x14ac:dyDescent="0.25">
      <c r="A148" s="5">
        <v>45252</v>
      </c>
      <c r="B148" s="5" t="s">
        <v>91</v>
      </c>
      <c r="C148" s="6">
        <v>2</v>
      </c>
      <c r="D148" s="6" t="s">
        <v>96</v>
      </c>
      <c r="E148" s="8">
        <v>25.42</v>
      </c>
      <c r="F148" s="8">
        <f>Table1[[#This Row],[QUANTITY]]*Table1[[#This Row],[PURCHASE PRICE]]</f>
        <v>50.84</v>
      </c>
      <c r="G148" s="8">
        <v>28</v>
      </c>
      <c r="H148" s="8">
        <f>Table1[[#This Row],[DEALING PRICE]]-Table1[[#This Row],[PURCHASE PRICE]]</f>
        <v>2.5799999999999983</v>
      </c>
      <c r="I148" s="8">
        <f>Table1[[#This Row],[QUANTITY]]*Table1[[#This Row],[DEALING PRICE]]</f>
        <v>56</v>
      </c>
      <c r="J148" s="8">
        <f>Table1[[#This Row],[GROSS AMOUNT]]*0.88</f>
        <v>49.28</v>
      </c>
      <c r="K148" s="8">
        <f>Table1[[#This Row],[GROSS AMOUNT]]-Table1[[#This Row],[TOTAL PURCHASE]]</f>
        <v>5.1599999999999966</v>
      </c>
    </row>
    <row r="149" spans="1:11" x14ac:dyDescent="0.25">
      <c r="A149" s="5">
        <v>45252</v>
      </c>
      <c r="B149" s="5" t="s">
        <v>91</v>
      </c>
      <c r="C149" s="6">
        <v>24</v>
      </c>
      <c r="D149" s="6" t="s">
        <v>97</v>
      </c>
      <c r="E149" s="8">
        <v>60</v>
      </c>
      <c r="F149" s="8">
        <f>Table1[[#This Row],[QUANTITY]]*Table1[[#This Row],[PURCHASE PRICE]]</f>
        <v>1440</v>
      </c>
      <c r="G149" s="8">
        <v>62</v>
      </c>
      <c r="H149" s="8">
        <f>Table1[[#This Row],[DEALING PRICE]]-Table1[[#This Row],[PURCHASE PRICE]]</f>
        <v>2</v>
      </c>
      <c r="I149" s="8">
        <f>Table1[[#This Row],[QUANTITY]]*Table1[[#This Row],[DEALING PRICE]]</f>
        <v>1488</v>
      </c>
      <c r="J149" s="8">
        <f>Table1[[#This Row],[GROSS AMOUNT]]*0.88</f>
        <v>1309.44</v>
      </c>
      <c r="K149" s="8">
        <f>Table1[[#This Row],[GROSS AMOUNT]]-Table1[[#This Row],[TOTAL PURCHASE]]</f>
        <v>48</v>
      </c>
    </row>
    <row r="150" spans="1:11" x14ac:dyDescent="0.25">
      <c r="A150" s="5">
        <v>45252</v>
      </c>
      <c r="B150" s="5" t="s">
        <v>91</v>
      </c>
      <c r="C150" s="6">
        <v>12</v>
      </c>
      <c r="D150" s="6" t="s">
        <v>98</v>
      </c>
      <c r="E150" s="8">
        <v>22.33</v>
      </c>
      <c r="F150" s="8">
        <f>Table1[[#This Row],[QUANTITY]]*Table1[[#This Row],[PURCHASE PRICE]]</f>
        <v>267.95999999999998</v>
      </c>
      <c r="G150" s="8">
        <v>24</v>
      </c>
      <c r="H150" s="8">
        <f>Table1[[#This Row],[DEALING PRICE]]-Table1[[#This Row],[PURCHASE PRICE]]</f>
        <v>1.6700000000000017</v>
      </c>
      <c r="I150" s="8">
        <f>Table1[[#This Row],[QUANTITY]]*Table1[[#This Row],[DEALING PRICE]]</f>
        <v>288</v>
      </c>
      <c r="J150" s="8">
        <f>Table1[[#This Row],[GROSS AMOUNT]]*0.88</f>
        <v>253.44</v>
      </c>
      <c r="K150" s="8">
        <f>Table1[[#This Row],[GROSS AMOUNT]]-Table1[[#This Row],[TOTAL PURCHASE]]</f>
        <v>20.04000000000002</v>
      </c>
    </row>
    <row r="151" spans="1:11" x14ac:dyDescent="0.25">
      <c r="A151" s="5">
        <v>45252</v>
      </c>
      <c r="B151" s="5" t="s">
        <v>91</v>
      </c>
      <c r="C151" s="6">
        <v>12</v>
      </c>
      <c r="D151" s="6" t="s">
        <v>101</v>
      </c>
      <c r="E151" s="8">
        <v>22.14</v>
      </c>
      <c r="F151" s="8">
        <f>Table1[[#This Row],[QUANTITY]]*Table1[[#This Row],[PURCHASE PRICE]]</f>
        <v>265.68</v>
      </c>
      <c r="G151" s="8">
        <v>25</v>
      </c>
      <c r="H151" s="8">
        <f>Table1[[#This Row],[DEALING PRICE]]-Table1[[#This Row],[PURCHASE PRICE]]</f>
        <v>2.8599999999999994</v>
      </c>
      <c r="I151" s="8">
        <f>Table1[[#This Row],[QUANTITY]]*Table1[[#This Row],[DEALING PRICE]]</f>
        <v>300</v>
      </c>
      <c r="J151" s="8">
        <f>Table1[[#This Row],[GROSS AMOUNT]]*0.88</f>
        <v>264</v>
      </c>
      <c r="K151" s="8">
        <f>Table1[[#This Row],[GROSS AMOUNT]]-Table1[[#This Row],[TOTAL PURCHASE]]</f>
        <v>34.319999999999993</v>
      </c>
    </row>
    <row r="152" spans="1:11" x14ac:dyDescent="0.25">
      <c r="A152" s="5">
        <v>45252</v>
      </c>
      <c r="B152" s="5" t="s">
        <v>91</v>
      </c>
      <c r="C152" s="6">
        <v>48</v>
      </c>
      <c r="D152" s="6" t="s">
        <v>100</v>
      </c>
      <c r="E152" s="8">
        <v>33.57</v>
      </c>
      <c r="F152" s="8">
        <f>Table1[[#This Row],[QUANTITY]]*Table1[[#This Row],[PURCHASE PRICE]]</f>
        <v>1611.3600000000001</v>
      </c>
      <c r="G152" s="8">
        <v>36</v>
      </c>
      <c r="H152" s="8">
        <f>Table1[[#This Row],[DEALING PRICE]]-Table1[[#This Row],[PURCHASE PRICE]]</f>
        <v>2.4299999999999997</v>
      </c>
      <c r="I152" s="8">
        <f>Table1[[#This Row],[QUANTITY]]*Table1[[#This Row],[DEALING PRICE]]</f>
        <v>1728</v>
      </c>
      <c r="J152" s="8">
        <f>Table1[[#This Row],[GROSS AMOUNT]]*0.88</f>
        <v>1520.64</v>
      </c>
      <c r="K152" s="8">
        <f>Table1[[#This Row],[GROSS AMOUNT]]-Table1[[#This Row],[TOTAL PURCHASE]]</f>
        <v>116.63999999999987</v>
      </c>
    </row>
    <row r="153" spans="1:11" x14ac:dyDescent="0.25">
      <c r="A153" s="5">
        <v>45252</v>
      </c>
      <c r="B153" s="5" t="s">
        <v>91</v>
      </c>
      <c r="C153" s="6">
        <v>48</v>
      </c>
      <c r="D153" s="6" t="s">
        <v>99</v>
      </c>
      <c r="E153" s="8">
        <v>29.047699999999999</v>
      </c>
      <c r="F153" s="8">
        <f>Table1[[#This Row],[QUANTITY]]*Table1[[#This Row],[PURCHASE PRICE]]</f>
        <v>1394.2896000000001</v>
      </c>
      <c r="G153" s="8">
        <v>32</v>
      </c>
      <c r="H153" s="8">
        <f>Table1[[#This Row],[DEALING PRICE]]-Table1[[#This Row],[PURCHASE PRICE]]</f>
        <v>2.952300000000001</v>
      </c>
      <c r="I153" s="8">
        <f>Table1[[#This Row],[QUANTITY]]*Table1[[#This Row],[DEALING PRICE]]</f>
        <v>1536</v>
      </c>
      <c r="J153" s="8">
        <f>Table1[[#This Row],[GROSS AMOUNT]]*0.88</f>
        <v>1351.68</v>
      </c>
      <c r="K153" s="8">
        <f>Table1[[#This Row],[GROSS AMOUNT]]-Table1[[#This Row],[TOTAL PURCHASE]]</f>
        <v>141.71039999999994</v>
      </c>
    </row>
    <row r="154" spans="1:11" x14ac:dyDescent="0.25">
      <c r="A154" s="5">
        <v>45252</v>
      </c>
      <c r="B154" s="5" t="s">
        <v>91</v>
      </c>
      <c r="C154" s="6">
        <v>12</v>
      </c>
      <c r="D154" s="6" t="s">
        <v>102</v>
      </c>
      <c r="E154" s="8">
        <v>20.71</v>
      </c>
      <c r="F154" s="8">
        <f>Table1[[#This Row],[QUANTITY]]*Table1[[#This Row],[PURCHASE PRICE]]</f>
        <v>248.52</v>
      </c>
      <c r="G154" s="8">
        <v>22</v>
      </c>
      <c r="H154" s="8">
        <f>Table1[[#This Row],[DEALING PRICE]]-Table1[[#This Row],[PURCHASE PRICE]]</f>
        <v>1.2899999999999991</v>
      </c>
      <c r="I154" s="8">
        <f>Table1[[#This Row],[QUANTITY]]*Table1[[#This Row],[DEALING PRICE]]</f>
        <v>264</v>
      </c>
      <c r="J154" s="8">
        <f>Table1[[#This Row],[GROSS AMOUNT]]*0.88</f>
        <v>232.32</v>
      </c>
      <c r="K154" s="8">
        <f>Table1[[#This Row],[GROSS AMOUNT]]-Table1[[#This Row],[TOTAL PURCHASE]]</f>
        <v>15.47999999999999</v>
      </c>
    </row>
    <row r="155" spans="1:11" x14ac:dyDescent="0.25">
      <c r="A155" s="5">
        <v>45252</v>
      </c>
      <c r="B155" s="5" t="s">
        <v>103</v>
      </c>
      <c r="C155" s="6">
        <v>12</v>
      </c>
      <c r="D155" s="6" t="s">
        <v>104</v>
      </c>
      <c r="E155" s="8">
        <v>37.35</v>
      </c>
      <c r="F155" s="8">
        <f>Table1[[#This Row],[QUANTITY]]*Table1[[#This Row],[PURCHASE PRICE]]</f>
        <v>448.20000000000005</v>
      </c>
      <c r="G155" s="8">
        <v>40</v>
      </c>
      <c r="H155" s="8">
        <f>Table1[[#This Row],[DEALING PRICE]]-Table1[[#This Row],[PURCHASE PRICE]]</f>
        <v>2.6499999999999986</v>
      </c>
      <c r="I155" s="8">
        <f>Table1[[#This Row],[QUANTITY]]*Table1[[#This Row],[DEALING PRICE]]</f>
        <v>480</v>
      </c>
      <c r="J155" s="8">
        <f>Table1[[#This Row],[GROSS AMOUNT]]*0.88</f>
        <v>422.4</v>
      </c>
      <c r="K155" s="8">
        <f>Table1[[#This Row],[GROSS AMOUNT]]-Table1[[#This Row],[TOTAL PURCHASE]]</f>
        <v>31.799999999999955</v>
      </c>
    </row>
    <row r="156" spans="1:11" x14ac:dyDescent="0.25">
      <c r="A156" s="5">
        <v>45252</v>
      </c>
      <c r="B156" s="5" t="s">
        <v>103</v>
      </c>
      <c r="C156" s="6">
        <v>48</v>
      </c>
      <c r="D156" s="6" t="s">
        <v>105</v>
      </c>
      <c r="E156" s="8">
        <v>41.06</v>
      </c>
      <c r="F156" s="8">
        <f>Table1[[#This Row],[QUANTITY]]*Table1[[#This Row],[PURCHASE PRICE]]</f>
        <v>1970.88</v>
      </c>
      <c r="G156" s="8">
        <v>43</v>
      </c>
      <c r="H156" s="8">
        <f>Table1[[#This Row],[DEALING PRICE]]-Table1[[#This Row],[PURCHASE PRICE]]</f>
        <v>1.9399999999999977</v>
      </c>
      <c r="I156" s="8">
        <f>Table1[[#This Row],[QUANTITY]]*Table1[[#This Row],[DEALING PRICE]]</f>
        <v>2064</v>
      </c>
      <c r="J156" s="8">
        <f>Table1[[#This Row],[GROSS AMOUNT]]*0.88</f>
        <v>1816.32</v>
      </c>
      <c r="K156" s="8">
        <f>Table1[[#This Row],[GROSS AMOUNT]]-Table1[[#This Row],[TOTAL PURCHASE]]</f>
        <v>93.119999999999891</v>
      </c>
    </row>
    <row r="157" spans="1:11" x14ac:dyDescent="0.25">
      <c r="A157" s="5">
        <v>45252</v>
      </c>
      <c r="B157" s="5" t="s">
        <v>103</v>
      </c>
      <c r="C157" s="6">
        <v>18</v>
      </c>
      <c r="D157" s="6" t="s">
        <v>107</v>
      </c>
      <c r="E157" s="8">
        <v>73.64</v>
      </c>
      <c r="F157" s="8">
        <f>Table1[[#This Row],[QUANTITY]]*Table1[[#This Row],[PURCHASE PRICE]]</f>
        <v>1325.52</v>
      </c>
      <c r="G157" s="8">
        <v>77</v>
      </c>
      <c r="H157" s="8">
        <f>Table1[[#This Row],[DEALING PRICE]]-Table1[[#This Row],[PURCHASE PRICE]]</f>
        <v>3.3599999999999994</v>
      </c>
      <c r="I157" s="8">
        <f>Table1[[#This Row],[QUANTITY]]*Table1[[#This Row],[DEALING PRICE]]</f>
        <v>1386</v>
      </c>
      <c r="J157" s="8">
        <f>Table1[[#This Row],[GROSS AMOUNT]]*0.88</f>
        <v>1219.68</v>
      </c>
      <c r="K157" s="8">
        <f>Table1[[#This Row],[GROSS AMOUNT]]-Table1[[#This Row],[TOTAL PURCHASE]]</f>
        <v>60.480000000000018</v>
      </c>
    </row>
    <row r="158" spans="1:11" x14ac:dyDescent="0.25">
      <c r="A158" s="5">
        <v>45252</v>
      </c>
      <c r="B158" s="5" t="s">
        <v>103</v>
      </c>
      <c r="C158" s="6">
        <v>3</v>
      </c>
      <c r="D158" s="6" t="s">
        <v>106</v>
      </c>
      <c r="E158" s="8">
        <v>90.84</v>
      </c>
      <c r="F158" s="8">
        <f>Table1[[#This Row],[QUANTITY]]*Table1[[#This Row],[PURCHASE PRICE]]</f>
        <v>272.52</v>
      </c>
      <c r="G158" s="8">
        <v>95</v>
      </c>
      <c r="H158" s="8">
        <f>Table1[[#This Row],[DEALING PRICE]]-Table1[[#This Row],[PURCHASE PRICE]]</f>
        <v>4.1599999999999966</v>
      </c>
      <c r="I158" s="8">
        <f>Table1[[#This Row],[QUANTITY]]*Table1[[#This Row],[DEALING PRICE]]</f>
        <v>285</v>
      </c>
      <c r="J158" s="8">
        <f>Table1[[#This Row],[GROSS AMOUNT]]*0.88</f>
        <v>250.8</v>
      </c>
      <c r="K158" s="8">
        <f>Table1[[#This Row],[GROSS AMOUNT]]-Table1[[#This Row],[TOTAL PURCHASE]]</f>
        <v>12.480000000000018</v>
      </c>
    </row>
    <row r="159" spans="1:11" x14ac:dyDescent="0.25">
      <c r="A159" s="5">
        <v>45245</v>
      </c>
      <c r="B159" s="5" t="s">
        <v>56</v>
      </c>
      <c r="C159" s="6">
        <v>48</v>
      </c>
      <c r="D159" s="6" t="s">
        <v>57</v>
      </c>
      <c r="E159" s="8">
        <v>57</v>
      </c>
      <c r="F159" s="8">
        <f>Table1[[#This Row],[QUANTITY]]*Table1[[#This Row],[PURCHASE PRICE]]</f>
        <v>2736</v>
      </c>
      <c r="G159" s="8">
        <v>60</v>
      </c>
      <c r="H159" s="8">
        <f>Table1[[#This Row],[DEALING PRICE]]-Table1[[#This Row],[PURCHASE PRICE]]</f>
        <v>3</v>
      </c>
      <c r="I159" s="8">
        <f>Table1[[#This Row],[QUANTITY]]*Table1[[#This Row],[DEALING PRICE]]</f>
        <v>2880</v>
      </c>
      <c r="J159" s="8">
        <f>Table1[[#This Row],[GROSS AMOUNT]]*0.88</f>
        <v>2534.4</v>
      </c>
      <c r="K159" s="8">
        <f>Table1[[#This Row],[GROSS AMOUNT]]-Table1[[#This Row],[TOTAL PURCHASE]]</f>
        <v>144</v>
      </c>
    </row>
    <row r="160" spans="1:11" x14ac:dyDescent="0.25">
      <c r="A160" s="5">
        <v>45245</v>
      </c>
      <c r="B160" s="5" t="s">
        <v>56</v>
      </c>
      <c r="C160" s="6">
        <v>12</v>
      </c>
      <c r="D160" s="6" t="s">
        <v>108</v>
      </c>
      <c r="E160" s="8">
        <v>111.5</v>
      </c>
      <c r="F160" s="8">
        <f>Table1[[#This Row],[QUANTITY]]*Table1[[#This Row],[PURCHASE PRICE]]</f>
        <v>1338</v>
      </c>
      <c r="G160" s="8">
        <v>118</v>
      </c>
      <c r="H160" s="8">
        <f>Table1[[#This Row],[DEALING PRICE]]-Table1[[#This Row],[PURCHASE PRICE]]</f>
        <v>6.5</v>
      </c>
      <c r="I160" s="8">
        <f>Table1[[#This Row],[QUANTITY]]*Table1[[#This Row],[DEALING PRICE]]</f>
        <v>1416</v>
      </c>
      <c r="J160" s="8">
        <f>Table1[[#This Row],[GROSS AMOUNT]]*0.88</f>
        <v>1246.08</v>
      </c>
      <c r="K160" s="8">
        <f>Table1[[#This Row],[GROSS AMOUNT]]-Table1[[#This Row],[TOTAL PURCHASE]]</f>
        <v>78</v>
      </c>
    </row>
    <row r="161" spans="1:11" x14ac:dyDescent="0.25">
      <c r="A161" s="5">
        <v>45245</v>
      </c>
      <c r="B161" s="5" t="s">
        <v>56</v>
      </c>
      <c r="C161" s="6">
        <v>12</v>
      </c>
      <c r="D161" s="6" t="s">
        <v>109</v>
      </c>
      <c r="E161" s="8">
        <v>148</v>
      </c>
      <c r="F161" s="8">
        <f>Table1[[#This Row],[QUANTITY]]*Table1[[#This Row],[PURCHASE PRICE]]</f>
        <v>1776</v>
      </c>
      <c r="G161" s="8">
        <v>160</v>
      </c>
      <c r="H161" s="8">
        <f>Table1[[#This Row],[DEALING PRICE]]-Table1[[#This Row],[PURCHASE PRICE]]</f>
        <v>12</v>
      </c>
      <c r="I161" s="8">
        <f>Table1[[#This Row],[QUANTITY]]*Table1[[#This Row],[DEALING PRICE]]</f>
        <v>1920</v>
      </c>
      <c r="J161" s="8">
        <f>Table1[[#This Row],[GROSS AMOUNT]]*0.88</f>
        <v>1689.6</v>
      </c>
      <c r="K161" s="8">
        <f>Table1[[#This Row],[GROSS AMOUNT]]-Table1[[#This Row],[TOTAL PURCHASE]]</f>
        <v>144</v>
      </c>
    </row>
    <row r="162" spans="1:11" x14ac:dyDescent="0.25">
      <c r="A162" s="5">
        <v>45247</v>
      </c>
      <c r="B162" s="5" t="s">
        <v>110</v>
      </c>
      <c r="C162" s="6">
        <v>6</v>
      </c>
      <c r="D162" s="6" t="s">
        <v>111</v>
      </c>
      <c r="E162" s="8">
        <v>1020</v>
      </c>
      <c r="F162" s="8">
        <f>Table1[[#This Row],[QUANTITY]]*Table1[[#This Row],[PURCHASE PRICE]]</f>
        <v>6120</v>
      </c>
      <c r="G162" s="8">
        <v>1100</v>
      </c>
      <c r="H162" s="8">
        <f>Table1[[#This Row],[DEALING PRICE]]-Table1[[#This Row],[PURCHASE PRICE]]</f>
        <v>80</v>
      </c>
      <c r="I162" s="8">
        <f>Table1[[#This Row],[QUANTITY]]*Table1[[#This Row],[DEALING PRICE]]</f>
        <v>6600</v>
      </c>
      <c r="J162" s="8">
        <f>Table1[[#This Row],[GROSS AMOUNT]]*0.88</f>
        <v>5808</v>
      </c>
      <c r="K162" s="8">
        <f>Table1[[#This Row],[GROSS AMOUNT]]-Table1[[#This Row],[TOTAL PURCHASE]]</f>
        <v>480</v>
      </c>
    </row>
    <row r="163" spans="1:11" x14ac:dyDescent="0.25">
      <c r="A163" s="5">
        <v>45247</v>
      </c>
      <c r="B163" s="5" t="s">
        <v>110</v>
      </c>
      <c r="C163" s="6">
        <v>2</v>
      </c>
      <c r="D163" s="6" t="s">
        <v>112</v>
      </c>
      <c r="E163" s="8">
        <v>330</v>
      </c>
      <c r="F163" s="8">
        <f>Table1[[#This Row],[QUANTITY]]*Table1[[#This Row],[PURCHASE PRICE]]</f>
        <v>660</v>
      </c>
      <c r="G163" s="8">
        <v>380</v>
      </c>
      <c r="H163" s="8">
        <f>Table1[[#This Row],[DEALING PRICE]]-Table1[[#This Row],[PURCHASE PRICE]]</f>
        <v>50</v>
      </c>
      <c r="I163" s="8">
        <f>Table1[[#This Row],[QUANTITY]]*Table1[[#This Row],[DEALING PRICE]]</f>
        <v>760</v>
      </c>
      <c r="J163" s="8">
        <f>Table1[[#This Row],[GROSS AMOUNT]]*0.88</f>
        <v>668.8</v>
      </c>
      <c r="K163" s="8">
        <f>Table1[[#This Row],[GROSS AMOUNT]]-Table1[[#This Row],[TOTAL PURCHASE]]</f>
        <v>100</v>
      </c>
    </row>
    <row r="164" spans="1:11" x14ac:dyDescent="0.25">
      <c r="A164" s="5">
        <v>45252</v>
      </c>
      <c r="B164" s="5" t="s">
        <v>28</v>
      </c>
      <c r="C164" s="6">
        <v>120</v>
      </c>
      <c r="D164" s="6" t="s">
        <v>29</v>
      </c>
      <c r="E164" s="8">
        <v>81.25</v>
      </c>
      <c r="F164" s="8">
        <f>Table1[[#This Row],[QUANTITY]]*Table1[[#This Row],[PURCHASE PRICE]]</f>
        <v>9750</v>
      </c>
      <c r="G164" s="8">
        <v>87</v>
      </c>
      <c r="H164" s="8">
        <f>Table1[[#This Row],[DEALING PRICE]]-Table1[[#This Row],[PURCHASE PRICE]]</f>
        <v>5.75</v>
      </c>
      <c r="I164" s="8">
        <f>Table1[[#This Row],[QUANTITY]]*Table1[[#This Row],[DEALING PRICE]]</f>
        <v>10440</v>
      </c>
      <c r="J164" s="8">
        <f>Table1[[#This Row],[GROSS AMOUNT]]*0.88</f>
        <v>9187.2000000000007</v>
      </c>
      <c r="K164" s="8">
        <f>Table1[[#This Row],[GROSS AMOUNT]]-Table1[[#This Row],[TOTAL PURCHASE]]</f>
        <v>690</v>
      </c>
    </row>
    <row r="165" spans="1:11" x14ac:dyDescent="0.25">
      <c r="A165" s="5">
        <v>45252</v>
      </c>
      <c r="B165" s="5" t="s">
        <v>28</v>
      </c>
      <c r="C165" s="6">
        <v>24</v>
      </c>
      <c r="D165" s="6" t="s">
        <v>113</v>
      </c>
      <c r="E165" s="8">
        <v>85.4</v>
      </c>
      <c r="F165" s="8">
        <f>Table1[[#This Row],[QUANTITY]]*Table1[[#This Row],[PURCHASE PRICE]]</f>
        <v>2049.6000000000004</v>
      </c>
      <c r="G165" s="8">
        <v>88</v>
      </c>
      <c r="H165" s="8">
        <f>Table1[[#This Row],[DEALING PRICE]]-Table1[[#This Row],[PURCHASE PRICE]]</f>
        <v>2.5999999999999943</v>
      </c>
      <c r="I165" s="8">
        <f>Table1[[#This Row],[QUANTITY]]*Table1[[#This Row],[DEALING PRICE]]</f>
        <v>2112</v>
      </c>
      <c r="J165" s="8">
        <f>Table1[[#This Row],[GROSS AMOUNT]]*0.88</f>
        <v>1858.56</v>
      </c>
      <c r="K165" s="8">
        <f>Table1[[#This Row],[GROSS AMOUNT]]-Table1[[#This Row],[TOTAL PURCHASE]]</f>
        <v>62.399999999999636</v>
      </c>
    </row>
    <row r="166" spans="1:11" x14ac:dyDescent="0.25">
      <c r="A166" s="5">
        <v>45252</v>
      </c>
      <c r="B166" s="5" t="s">
        <v>28</v>
      </c>
      <c r="C166" s="6">
        <v>20</v>
      </c>
      <c r="D166" s="6" t="s">
        <v>114</v>
      </c>
      <c r="E166" s="8">
        <v>118.5</v>
      </c>
      <c r="F166" s="8">
        <f>Table1[[#This Row],[QUANTITY]]*Table1[[#This Row],[PURCHASE PRICE]]</f>
        <v>2370</v>
      </c>
      <c r="G166" s="8">
        <v>121</v>
      </c>
      <c r="H166" s="8">
        <f>Table1[[#This Row],[DEALING PRICE]]-Table1[[#This Row],[PURCHASE PRICE]]</f>
        <v>2.5</v>
      </c>
      <c r="I166" s="8">
        <f>Table1[[#This Row],[QUANTITY]]*Table1[[#This Row],[DEALING PRICE]]</f>
        <v>2420</v>
      </c>
      <c r="J166" s="8">
        <f>Table1[[#This Row],[GROSS AMOUNT]]*0.88</f>
        <v>2129.6</v>
      </c>
      <c r="K166" s="8">
        <f>Table1[[#This Row],[GROSS AMOUNT]]-Table1[[#This Row],[TOTAL PURCHASE]]</f>
        <v>50</v>
      </c>
    </row>
    <row r="167" spans="1:11" x14ac:dyDescent="0.25">
      <c r="A167" s="5">
        <v>45252</v>
      </c>
      <c r="B167" s="5" t="s">
        <v>28</v>
      </c>
      <c r="C167" s="6">
        <v>20</v>
      </c>
      <c r="D167" s="6" t="s">
        <v>33</v>
      </c>
      <c r="E167" s="8">
        <v>118.5</v>
      </c>
      <c r="F167" s="8">
        <f>Table1[[#This Row],[QUANTITY]]*Table1[[#This Row],[PURCHASE PRICE]]</f>
        <v>2370</v>
      </c>
      <c r="G167" s="8">
        <v>121</v>
      </c>
      <c r="H167" s="8">
        <f>Table1[[#This Row],[DEALING PRICE]]-Table1[[#This Row],[PURCHASE PRICE]]</f>
        <v>2.5</v>
      </c>
      <c r="I167" s="8">
        <f>Table1[[#This Row],[QUANTITY]]*Table1[[#This Row],[DEALING PRICE]]</f>
        <v>2420</v>
      </c>
      <c r="J167" s="8">
        <f>Table1[[#This Row],[GROSS AMOUNT]]*0.88</f>
        <v>2129.6</v>
      </c>
      <c r="K167" s="8">
        <f>Table1[[#This Row],[GROSS AMOUNT]]-Table1[[#This Row],[TOTAL PURCHASE]]</f>
        <v>50</v>
      </c>
    </row>
    <row r="168" spans="1:11" x14ac:dyDescent="0.25">
      <c r="A168" s="5">
        <v>45252</v>
      </c>
      <c r="B168" s="5" t="s">
        <v>28</v>
      </c>
      <c r="C168" s="6">
        <v>20</v>
      </c>
      <c r="D168" s="6" t="s">
        <v>115</v>
      </c>
      <c r="E168" s="8">
        <v>118.5</v>
      </c>
      <c r="F168" s="8">
        <f>Table1[[#This Row],[QUANTITY]]*Table1[[#This Row],[PURCHASE PRICE]]</f>
        <v>2370</v>
      </c>
      <c r="G168" s="8">
        <v>121</v>
      </c>
      <c r="H168" s="8">
        <f>Table1[[#This Row],[DEALING PRICE]]-Table1[[#This Row],[PURCHASE PRICE]]</f>
        <v>2.5</v>
      </c>
      <c r="I168" s="8">
        <f>Table1[[#This Row],[QUANTITY]]*Table1[[#This Row],[DEALING PRICE]]</f>
        <v>2420</v>
      </c>
      <c r="J168" s="8">
        <f>Table1[[#This Row],[GROSS AMOUNT]]*0.88</f>
        <v>2129.6</v>
      </c>
      <c r="K168" s="8">
        <f>Table1[[#This Row],[GROSS AMOUNT]]-Table1[[#This Row],[TOTAL PURCHASE]]</f>
        <v>50</v>
      </c>
    </row>
    <row r="169" spans="1:11" x14ac:dyDescent="0.25">
      <c r="A169" s="5">
        <v>45252</v>
      </c>
      <c r="B169" s="5" t="s">
        <v>28</v>
      </c>
      <c r="C169" s="6">
        <v>20</v>
      </c>
      <c r="D169" s="6" t="s">
        <v>118</v>
      </c>
      <c r="E169" s="8">
        <v>106.65</v>
      </c>
      <c r="F169" s="8">
        <f>Table1[[#This Row],[QUANTITY]]*Table1[[#This Row],[PURCHASE PRICE]]</f>
        <v>2133</v>
      </c>
      <c r="G169" s="8">
        <v>110</v>
      </c>
      <c r="H169" s="8">
        <f>Table1[[#This Row],[DEALING PRICE]]-Table1[[#This Row],[PURCHASE PRICE]]</f>
        <v>3.3499999999999943</v>
      </c>
      <c r="I169" s="8">
        <f>Table1[[#This Row],[QUANTITY]]*Table1[[#This Row],[DEALING PRICE]]</f>
        <v>2200</v>
      </c>
      <c r="J169" s="8">
        <f>Table1[[#This Row],[GROSS AMOUNT]]*0.88</f>
        <v>1936</v>
      </c>
      <c r="K169" s="8">
        <f>Table1[[#This Row],[GROSS AMOUNT]]-Table1[[#This Row],[TOTAL PURCHASE]]</f>
        <v>67</v>
      </c>
    </row>
    <row r="170" spans="1:11" x14ac:dyDescent="0.25">
      <c r="A170" s="5">
        <v>45252</v>
      </c>
      <c r="B170" s="5" t="s">
        <v>28</v>
      </c>
      <c r="C170" s="6">
        <v>60</v>
      </c>
      <c r="D170" s="6" t="s">
        <v>31</v>
      </c>
      <c r="E170" s="8">
        <v>60.8</v>
      </c>
      <c r="F170" s="8">
        <f>Table1[[#This Row],[QUANTITY]]*Table1[[#This Row],[PURCHASE PRICE]]</f>
        <v>3648</v>
      </c>
      <c r="G170" s="8">
        <v>63</v>
      </c>
      <c r="H170" s="8">
        <f>Table1[[#This Row],[DEALING PRICE]]-Table1[[#This Row],[PURCHASE PRICE]]</f>
        <v>2.2000000000000028</v>
      </c>
      <c r="I170" s="8">
        <f>Table1[[#This Row],[QUANTITY]]*Table1[[#This Row],[DEALING PRICE]]</f>
        <v>3780</v>
      </c>
      <c r="J170" s="8">
        <f>Table1[[#This Row],[GROSS AMOUNT]]*0.88</f>
        <v>3326.4</v>
      </c>
      <c r="K170" s="8">
        <f>Table1[[#This Row],[GROSS AMOUNT]]-Table1[[#This Row],[TOTAL PURCHASE]]</f>
        <v>132</v>
      </c>
    </row>
    <row r="171" spans="1:11" x14ac:dyDescent="0.25">
      <c r="A171" s="5">
        <v>45252</v>
      </c>
      <c r="B171" s="5" t="s">
        <v>28</v>
      </c>
      <c r="C171" s="6">
        <v>21</v>
      </c>
      <c r="D171" s="6" t="s">
        <v>32</v>
      </c>
      <c r="E171" s="8">
        <v>108</v>
      </c>
      <c r="F171" s="8">
        <f>Table1[[#This Row],[QUANTITY]]*Table1[[#This Row],[PURCHASE PRICE]]</f>
        <v>2268</v>
      </c>
      <c r="G171" s="8">
        <v>110</v>
      </c>
      <c r="H171" s="8">
        <f>Table1[[#This Row],[DEALING PRICE]]-Table1[[#This Row],[PURCHASE PRICE]]</f>
        <v>2</v>
      </c>
      <c r="I171" s="8">
        <f>Table1[[#This Row],[QUANTITY]]*Table1[[#This Row],[DEALING PRICE]]</f>
        <v>2310</v>
      </c>
      <c r="J171" s="8">
        <f>Table1[[#This Row],[GROSS AMOUNT]]*0.88</f>
        <v>2032.8</v>
      </c>
      <c r="K171" s="8">
        <f>Table1[[#This Row],[GROSS AMOUNT]]-Table1[[#This Row],[TOTAL PURCHASE]]</f>
        <v>42</v>
      </c>
    </row>
    <row r="172" spans="1:11" x14ac:dyDescent="0.25">
      <c r="A172" s="5">
        <v>45252</v>
      </c>
      <c r="B172" s="5" t="s">
        <v>28</v>
      </c>
      <c r="C172" s="6">
        <v>16</v>
      </c>
      <c r="D172" s="6" t="s">
        <v>116</v>
      </c>
      <c r="E172" s="8">
        <v>76</v>
      </c>
      <c r="F172" s="8">
        <f>Table1[[#This Row],[QUANTITY]]*Table1[[#This Row],[PURCHASE PRICE]]</f>
        <v>1216</v>
      </c>
      <c r="G172" s="8">
        <v>80</v>
      </c>
      <c r="H172" s="8">
        <f>Table1[[#This Row],[DEALING PRICE]]-Table1[[#This Row],[PURCHASE PRICE]]</f>
        <v>4</v>
      </c>
      <c r="I172" s="8">
        <f>Table1[[#This Row],[QUANTITY]]*Table1[[#This Row],[DEALING PRICE]]</f>
        <v>1280</v>
      </c>
      <c r="J172" s="8">
        <f>Table1[[#This Row],[GROSS AMOUNT]]*0.88</f>
        <v>1126.4000000000001</v>
      </c>
      <c r="K172" s="8">
        <f>Table1[[#This Row],[GROSS AMOUNT]]-Table1[[#This Row],[TOTAL PURCHASE]]</f>
        <v>64</v>
      </c>
    </row>
    <row r="173" spans="1:11" x14ac:dyDescent="0.25">
      <c r="A173" s="5">
        <v>45252</v>
      </c>
      <c r="B173" s="5" t="s">
        <v>28</v>
      </c>
      <c r="C173" s="6">
        <v>3</v>
      </c>
      <c r="D173" s="6" t="s">
        <v>35</v>
      </c>
      <c r="E173" s="8">
        <v>223.56</v>
      </c>
      <c r="F173" s="8">
        <f>Table1[[#This Row],[QUANTITY]]*Table1[[#This Row],[PURCHASE PRICE]]</f>
        <v>670.68000000000006</v>
      </c>
      <c r="G173" s="8">
        <v>228</v>
      </c>
      <c r="H173" s="8">
        <f>Table1[[#This Row],[DEALING PRICE]]-Table1[[#This Row],[PURCHASE PRICE]]</f>
        <v>4.4399999999999977</v>
      </c>
      <c r="I173" s="8">
        <f>Table1[[#This Row],[QUANTITY]]*Table1[[#This Row],[DEALING PRICE]]</f>
        <v>684</v>
      </c>
      <c r="J173" s="8">
        <f>Table1[[#This Row],[GROSS AMOUNT]]*0.88</f>
        <v>601.91999999999996</v>
      </c>
      <c r="K173" s="8">
        <f>Table1[[#This Row],[GROSS AMOUNT]]-Table1[[#This Row],[TOTAL PURCHASE]]</f>
        <v>13.319999999999936</v>
      </c>
    </row>
    <row r="174" spans="1:11" x14ac:dyDescent="0.25">
      <c r="A174" s="5">
        <v>45252</v>
      </c>
      <c r="B174" s="5" t="s">
        <v>28</v>
      </c>
      <c r="C174" s="6">
        <v>42</v>
      </c>
      <c r="D174" s="6" t="s">
        <v>117</v>
      </c>
      <c r="E174" s="8">
        <v>95</v>
      </c>
      <c r="F174" s="8">
        <f>Table1[[#This Row],[QUANTITY]]*Table1[[#This Row],[PURCHASE PRICE]]</f>
        <v>3990</v>
      </c>
      <c r="G174" s="8">
        <v>99</v>
      </c>
      <c r="H174" s="8">
        <f>Table1[[#This Row],[DEALING PRICE]]-Table1[[#This Row],[PURCHASE PRICE]]</f>
        <v>4</v>
      </c>
      <c r="I174" s="8">
        <f>Table1[[#This Row],[QUANTITY]]*Table1[[#This Row],[DEALING PRICE]]</f>
        <v>4158</v>
      </c>
      <c r="J174" s="8">
        <f>Table1[[#This Row],[GROSS AMOUNT]]*0.88</f>
        <v>3659.04</v>
      </c>
      <c r="K174" s="8">
        <f>Table1[[#This Row],[GROSS AMOUNT]]-Table1[[#This Row],[TOTAL PURCHASE]]</f>
        <v>168</v>
      </c>
    </row>
    <row r="175" spans="1:11" x14ac:dyDescent="0.25">
      <c r="A175" s="5">
        <v>45250</v>
      </c>
      <c r="B175" s="5" t="s">
        <v>140</v>
      </c>
      <c r="C175" s="6">
        <v>1150</v>
      </c>
      <c r="D175" s="6"/>
      <c r="E175" s="8">
        <v>9.1</v>
      </c>
      <c r="F175" s="8">
        <f>Table1[[#This Row],[QUANTITY]]*Table1[[#This Row],[PURCHASE PRICE]]</f>
        <v>10465</v>
      </c>
      <c r="G175" s="8">
        <v>10</v>
      </c>
      <c r="H175" s="8">
        <f>Table1[[#This Row],[DEALING PRICE]]-Table1[[#This Row],[PURCHASE PRICE]]</f>
        <v>0.90000000000000036</v>
      </c>
      <c r="I175" s="8">
        <f>Table1[[#This Row],[QUANTITY]]*Table1[[#This Row],[DEALING PRICE]]</f>
        <v>11500</v>
      </c>
      <c r="J175" s="8">
        <f>Table1[[#This Row],[GROSS AMOUNT]]*0.88</f>
        <v>10120</v>
      </c>
      <c r="K175" s="8">
        <f>Table1[[#This Row],[GROSS AMOUNT]]-Table1[[#This Row],[TOTAL PURCHASE]]</f>
        <v>1035</v>
      </c>
    </row>
    <row r="176" spans="1:11" x14ac:dyDescent="0.25">
      <c r="A176" s="5"/>
      <c r="B176" s="5" t="s">
        <v>141</v>
      </c>
      <c r="C176" s="6"/>
      <c r="D176" s="6"/>
      <c r="E176" s="8"/>
      <c r="F176" s="8">
        <f>Table1[[#This Row],[QUANTITY]]*Table1[[#This Row],[PURCHASE PRICE]]</f>
        <v>0</v>
      </c>
      <c r="G176" s="8"/>
      <c r="H176" s="8">
        <f>Table1[[#This Row],[DEALING PRICE]]-Table1[[#This Row],[PURCHASE PRICE]]</f>
        <v>0</v>
      </c>
      <c r="I176" s="8">
        <f>Table1[[#This Row],[QUANTITY]]*Table1[[#This Row],[DEALING PRICE]]</f>
        <v>0</v>
      </c>
      <c r="J176" s="8">
        <f>Table1[[#This Row],[GROSS AMOUNT]]*0.88</f>
        <v>0</v>
      </c>
      <c r="K176" s="8">
        <f>Table1[[#This Row],[GROSS AMOUNT]]-Table1[[#This Row],[TOTAL PURCHASE]]</f>
        <v>0</v>
      </c>
    </row>
    <row r="177" spans="1:11" x14ac:dyDescent="0.25">
      <c r="A177" s="5"/>
      <c r="B177" s="5"/>
      <c r="C177" s="6"/>
      <c r="D177" s="6"/>
      <c r="E177" s="8"/>
      <c r="F177" s="8">
        <f>Table1[[#This Row],[QUANTITY]]*Table1[[#This Row],[PURCHASE PRICE]]</f>
        <v>0</v>
      </c>
      <c r="G177" s="8"/>
      <c r="H177" s="8">
        <f>Table1[[#This Row],[DEALING PRICE]]-Table1[[#This Row],[PURCHASE PRICE]]</f>
        <v>0</v>
      </c>
      <c r="I177" s="8">
        <f>Table1[[#This Row],[QUANTITY]]*Table1[[#This Row],[DEALING PRICE]]</f>
        <v>0</v>
      </c>
      <c r="J177" s="8">
        <f>Table1[[#This Row],[GROSS AMOUNT]]*0.88</f>
        <v>0</v>
      </c>
      <c r="K177" s="8">
        <f>Table1[[#This Row],[GROSS AMOUNT]]-Table1[[#This Row],[TOTAL PURCHASE]]</f>
        <v>0</v>
      </c>
    </row>
    <row r="178" spans="1:11" x14ac:dyDescent="0.25">
      <c r="A178" s="14"/>
      <c r="B178" s="15"/>
      <c r="C178" s="14"/>
      <c r="D178" s="14"/>
      <c r="E178" s="14"/>
      <c r="F178" s="17">
        <f>SUBTOTAL(9,F4:F177)</f>
        <v>790481.54744000023</v>
      </c>
      <c r="G178" s="14"/>
      <c r="H178" s="16"/>
      <c r="I178" s="17">
        <f>SUM(I4:I177)</f>
        <v>826154.19919999992</v>
      </c>
      <c r="J178" s="17">
        <f>SUM(J4:J177)</f>
        <v>727015.69529600022</v>
      </c>
      <c r="K178" s="17">
        <f>SUM(K4:K177)</f>
        <v>35672.651759999986</v>
      </c>
    </row>
  </sheetData>
  <mergeCells count="1">
    <mergeCell ref="D1:E2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2024-01-23T13:10:44Z</dcterms:created>
  <dcterms:modified xsi:type="dcterms:W3CDTF">2024-01-24T08:03:29Z</dcterms:modified>
</cp:coreProperties>
</file>